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e3e5a1607340544/โรงเรียนบ้านโพนแท่น/Phontan-68/ไฟล์ปพ/"/>
    </mc:Choice>
  </mc:AlternateContent>
  <xr:revisionPtr revIDLastSave="790" documentId="13_ncr:1_{8F6E7CCB-B5C0-4642-9FDB-7C1755A7C5F1}" xr6:coauthVersionLast="47" xr6:coauthVersionMax="47" xr10:uidLastSave="{EE2AF0E1-EC02-4D57-97C0-D336A5961D92}"/>
  <bookViews>
    <workbookView xWindow="-120" yWindow="-120" windowWidth="20730" windowHeight="11160" tabRatio="864" firstSheet="5" activeTab="15" xr2:uid="{00000000-000D-0000-FFFF-FFFF00000000}"/>
  </bookViews>
  <sheets>
    <sheet name="  ปก   " sheetId="31" r:id="rId1"/>
    <sheet name="ข้อมูลเด็ก" sheetId="32" r:id="rId2"/>
    <sheet name="วิธีทำ1" sheetId="33" r:id="rId3"/>
    <sheet name="วิธีทำ2" sheetId="34" r:id="rId4"/>
    <sheet name="เวลา1" sheetId="7" r:id="rId5"/>
    <sheet name="เวลา2" sheetId="8" r:id="rId6"/>
    <sheet name="เวลา3" sheetId="29" r:id="rId7"/>
    <sheet name="เวลา 4" sheetId="37" r:id="rId8"/>
    <sheet name="เวลา 5" sheetId="38" r:id="rId9"/>
    <sheet name="เวลา 6" sheetId="39" r:id="rId10"/>
    <sheet name="เวลา 7" sheetId="40" r:id="rId11"/>
    <sheet name="คะแนน1" sheetId="28" r:id="rId12"/>
    <sheet name="คะแนน2" sheetId="26" r:id="rId13"/>
    <sheet name="คำอธิบาย" sheetId="35" r:id="rId14"/>
    <sheet name="ตัวชี้วัด" sheetId="36" r:id="rId15"/>
    <sheet name="คุณลักษณะ" sheetId="12" r:id="rId16"/>
    <sheet name="อ่านคิด" sheetId="18" r:id="rId17"/>
    <sheet name="คะแนนวิชา" sheetId="13" r:id="rId18"/>
  </sheets>
  <externalReferences>
    <externalReference r:id="rId19"/>
    <externalReference r:id="rId20"/>
  </externalReferences>
  <definedNames>
    <definedName name="date" localSheetId="7">#REF!</definedName>
    <definedName name="date" localSheetId="8">#REF!</definedName>
    <definedName name="date" localSheetId="9">#REF!</definedName>
    <definedName name="date" localSheetId="10">#REF!</definedName>
    <definedName name="date">#REF!</definedName>
    <definedName name="grad2">[1]เกณฑ์!$J$5:$N$9</definedName>
    <definedName name="grad3">[1]เกณฑ์!$J$12:$N$16</definedName>
    <definedName name="grade01">[1]เกณฑ์!$C$8:$G$16</definedName>
    <definedName name="group_sara" localSheetId="7">#REF!</definedName>
    <definedName name="group_sara" localSheetId="8">#REF!</definedName>
    <definedName name="group_sara" localSheetId="9">#REF!</definedName>
    <definedName name="group_sara" localSheetId="10">#REF!</definedName>
    <definedName name="group_sara">#REF!</definedName>
    <definedName name="kroo" localSheetId="7">#REF!</definedName>
    <definedName name="kroo" localSheetId="8">#REF!</definedName>
    <definedName name="kroo" localSheetId="9">#REF!</definedName>
    <definedName name="kroo" localSheetId="10">#REF!</definedName>
    <definedName name="kroo">#REF!</definedName>
    <definedName name="level_class" localSheetId="7">#REF!</definedName>
    <definedName name="level_class" localSheetId="8">#REF!</definedName>
    <definedName name="level_class" localSheetId="9">#REF!</definedName>
    <definedName name="level_class" localSheetId="10">#REF!</definedName>
    <definedName name="level_class">#REF!</definedName>
    <definedName name="level_ed" localSheetId="7">#REF!</definedName>
    <definedName name="level_ed" localSheetId="8">#REF!</definedName>
    <definedName name="level_ed" localSheetId="9">#REF!</definedName>
    <definedName name="level_ed" localSheetId="10">#REF!</definedName>
    <definedName name="level_ed">#REF!</definedName>
    <definedName name="list" localSheetId="0">#REF!</definedName>
    <definedName name="list">[2]Sheet1!$L$2:$L$13</definedName>
    <definedName name="month" localSheetId="7">#REF!</definedName>
    <definedName name="month" localSheetId="8">#REF!</definedName>
    <definedName name="month" localSheetId="9">#REF!</definedName>
    <definedName name="month" localSheetId="10">#REF!</definedName>
    <definedName name="month">#REF!</definedName>
    <definedName name="months" localSheetId="7">#REF!</definedName>
    <definedName name="months" localSheetId="8">#REF!</definedName>
    <definedName name="months" localSheetId="9">#REF!</definedName>
    <definedName name="months" localSheetId="10">#REF!</definedName>
    <definedName name="months">#REF!</definedName>
    <definedName name="posit" localSheetId="7">#REF!</definedName>
    <definedName name="posit" localSheetId="8">#REF!</definedName>
    <definedName name="posit" localSheetId="9">#REF!</definedName>
    <definedName name="posit" localSheetId="10">#REF!</definedName>
    <definedName name="posit">#REF!</definedName>
    <definedName name="_xlnm.Print_Area" localSheetId="0">'  ปก   '!$B$1:$S$41</definedName>
    <definedName name="_xlnm.Print_Area" localSheetId="7">'เวลา 4'!$A$1:$AR$23</definedName>
    <definedName name="_xlnm.Print_Area" localSheetId="8">'เวลา 5'!$A$1:$AX$26</definedName>
    <definedName name="_xlnm.Print_Area" localSheetId="9">'เวลา 6'!$A$1:$AX$31</definedName>
    <definedName name="_xlnm.Print_Area" localSheetId="10">'เวลา 7'!$A$1:$AN$21</definedName>
    <definedName name="_xlnm.Print_Area" localSheetId="5">เวลา2!$A$1:$AY$25</definedName>
    <definedName name="_xlnm.Print_Area" localSheetId="6">เวลา3!$A$1:$AY$24</definedName>
    <definedName name="_xlnm.Print_Area" localSheetId="1">ข้อมูลเด็ก!$A$1:$H$21</definedName>
    <definedName name="_xlnm.Print_Area" localSheetId="11">คะแนน1!$A$1:$W$17</definedName>
    <definedName name="_xlnm.Print_Area" localSheetId="12">คะแนน2!$A$1:$V$17</definedName>
    <definedName name="_xlnm.Print_Area" localSheetId="17">คะแนนวิชา!$A$1:$G$26</definedName>
    <definedName name="_xlnm.Print_Area" localSheetId="13">คำอธิบาย!$A$1:$K$38</definedName>
    <definedName name="_xlnm.Print_Area" localSheetId="15">คุณลักษณะ!$A$1:$N$22</definedName>
    <definedName name="_xlnm.Print_Area" localSheetId="14">ตัวชี้วัด!$A$1:$AQ$38</definedName>
    <definedName name="_xlnm.Print_Area" localSheetId="3">วิธีทำ2!$A$1:$M$34</definedName>
    <definedName name="_xlnm.Print_Area" localSheetId="16">อ่านคิด!$A$1:$O$27</definedName>
    <definedName name="scor1" localSheetId="7">#REF!</definedName>
    <definedName name="scor1" localSheetId="8">#REF!</definedName>
    <definedName name="scor1" localSheetId="9">#REF!</definedName>
    <definedName name="scor1" localSheetId="10">#REF!</definedName>
    <definedName name="scor1">#REF!</definedName>
    <definedName name="section" localSheetId="7">#REF!</definedName>
    <definedName name="section" localSheetId="8">#REF!</definedName>
    <definedName name="section" localSheetId="9">#REF!</definedName>
    <definedName name="section" localSheetId="10">#REF!</definedName>
    <definedName name="section">#REF!</definedName>
    <definedName name="time" localSheetId="7">#REF!</definedName>
    <definedName name="time" localSheetId="8">#REF!</definedName>
    <definedName name="time" localSheetId="9">#REF!</definedName>
    <definedName name="time" localSheetId="10">#REF!</definedName>
    <definedName name="time">#REF!</definedName>
    <definedName name="year_ed" localSheetId="7">#REF!</definedName>
    <definedName name="year_ed" localSheetId="8">#REF!</definedName>
    <definedName name="year_ed" localSheetId="9">#REF!</definedName>
    <definedName name="year_ed" localSheetId="10">#REF!</definedName>
    <definedName name="year_ed">#REF!</definedName>
    <definedName name="years" localSheetId="7">#REF!</definedName>
    <definedName name="years" localSheetId="8">#REF!</definedName>
    <definedName name="years" localSheetId="9">#REF!</definedName>
    <definedName name="years" localSheetId="10">#REF!</definedName>
    <definedName name="years">#REF!</definedName>
    <definedName name="เวลากกก3" localSheetId="9">#REF!</definedName>
    <definedName name="เวลากกก3" localSheetId="10">#REF!</definedName>
    <definedName name="เวลากกก3">#REF!</definedName>
    <definedName name="ส่าพะส" localSheetId="9">#REF!</definedName>
    <definedName name="ส่าพะส" localSheetId="10">#REF!</definedName>
    <definedName name="ส่าพะส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8" l="1"/>
  <c r="O17" i="18" s="1"/>
  <c r="C6" i="18"/>
  <c r="C7" i="18"/>
  <c r="C8" i="18"/>
  <c r="C9" i="18"/>
  <c r="C10" i="18"/>
  <c r="C11" i="18"/>
  <c r="C12" i="18"/>
  <c r="C13" i="18"/>
  <c r="C14" i="18"/>
  <c r="C15" i="18"/>
  <c r="C16" i="18"/>
  <c r="C17" i="18"/>
  <c r="C5" i="18"/>
  <c r="M17" i="12"/>
  <c r="N17" i="12" s="1"/>
  <c r="D6" i="12"/>
  <c r="D7" i="12"/>
  <c r="D8" i="12"/>
  <c r="D9" i="12"/>
  <c r="D10" i="12"/>
  <c r="D11" i="12"/>
  <c r="D12" i="12"/>
  <c r="D13" i="12"/>
  <c r="D14" i="12"/>
  <c r="D15" i="12"/>
  <c r="D16" i="12"/>
  <c r="D17" i="12"/>
  <c r="D5" i="12"/>
  <c r="C6" i="28"/>
  <c r="C7" i="28"/>
  <c r="C8" i="28"/>
  <c r="C9" i="28"/>
  <c r="C10" i="28"/>
  <c r="C11" i="28"/>
  <c r="C12" i="28"/>
  <c r="C13" i="28"/>
  <c r="C14" i="28"/>
  <c r="C15" i="28"/>
  <c r="C16" i="28"/>
  <c r="C17" i="28"/>
  <c r="C5" i="28"/>
  <c r="AK17" i="40" a="1"/>
  <c r="AK17" i="40" s="1"/>
  <c r="AL17" i="40" a="1"/>
  <c r="AL17" i="40"/>
  <c r="AM17" i="40" a="1"/>
  <c r="AM17" i="40" s="1"/>
  <c r="AN17" i="40" s="1"/>
  <c r="D6" i="7"/>
  <c r="D7" i="7"/>
  <c r="D8" i="7"/>
  <c r="D9" i="7"/>
  <c r="D10" i="7"/>
  <c r="D11" i="7"/>
  <c r="D12" i="7"/>
  <c r="D13" i="7"/>
  <c r="D14" i="7"/>
  <c r="D15" i="7"/>
  <c r="D16" i="7"/>
  <c r="D17" i="7"/>
  <c r="D5" i="7"/>
  <c r="E17" i="7"/>
  <c r="E6" i="7"/>
  <c r="E7" i="7"/>
  <c r="E8" i="7"/>
  <c r="E9" i="7"/>
  <c r="E10" i="7"/>
  <c r="E11" i="7"/>
  <c r="E12" i="7"/>
  <c r="E13" i="7"/>
  <c r="E14" i="7"/>
  <c r="E15" i="7"/>
  <c r="E16" i="7"/>
  <c r="E5" i="7"/>
  <c r="C17" i="26"/>
  <c r="C16" i="26"/>
  <c r="C14" i="26"/>
  <c r="C15" i="26"/>
  <c r="C12" i="26"/>
  <c r="C13" i="26"/>
  <c r="C10" i="26"/>
  <c r="C11" i="26"/>
  <c r="C8" i="26"/>
  <c r="C9" i="26"/>
  <c r="C7" i="26"/>
  <c r="C6" i="26"/>
  <c r="C5" i="26"/>
  <c r="T17" i="26"/>
  <c r="U17" i="26" s="1"/>
  <c r="R22" i="31"/>
  <c r="R23" i="31" s="1"/>
  <c r="F18" i="31"/>
  <c r="G18" i="31"/>
  <c r="H18" i="31"/>
  <c r="I18" i="31"/>
  <c r="J18" i="31"/>
  <c r="K18" i="31"/>
  <c r="L18" i="31"/>
  <c r="E18" i="31"/>
  <c r="F17" i="31"/>
  <c r="G17" i="31"/>
  <c r="H17" i="31"/>
  <c r="I17" i="31"/>
  <c r="J17" i="31"/>
  <c r="K17" i="31"/>
  <c r="L17" i="31"/>
  <c r="E17" i="31"/>
  <c r="AK16" i="40" a="1"/>
  <c r="AK16" i="40" s="1"/>
  <c r="U15" i="26"/>
  <c r="T6" i="26"/>
  <c r="U6" i="26" s="1"/>
  <c r="T7" i="26"/>
  <c r="U7" i="26" s="1"/>
  <c r="T8" i="26"/>
  <c r="U8" i="26" s="1"/>
  <c r="T9" i="26"/>
  <c r="U9" i="26" s="1"/>
  <c r="T10" i="26"/>
  <c r="U10" i="26" s="1"/>
  <c r="T11" i="26"/>
  <c r="U11" i="26" s="1"/>
  <c r="T12" i="26"/>
  <c r="U12" i="26" s="1"/>
  <c r="T13" i="26"/>
  <c r="U13" i="26" s="1"/>
  <c r="T14" i="26"/>
  <c r="U14" i="26" s="1"/>
  <c r="T15" i="26"/>
  <c r="T16" i="26"/>
  <c r="U16" i="26" s="1"/>
  <c r="T5" i="26"/>
  <c r="U5" i="26" s="1"/>
  <c r="N5" i="12"/>
  <c r="I22" i="31" s="1"/>
  <c r="I23" i="31" s="1"/>
  <c r="N6" i="18"/>
  <c r="O6" i="18" s="1"/>
  <c r="N7" i="18"/>
  <c r="O7" i="18" s="1"/>
  <c r="N8" i="18"/>
  <c r="O8" i="18" s="1"/>
  <c r="N9" i="18"/>
  <c r="O9" i="18" s="1"/>
  <c r="N10" i="18"/>
  <c r="O10" i="18" s="1"/>
  <c r="N11" i="18"/>
  <c r="O11" i="18" s="1"/>
  <c r="N12" i="18"/>
  <c r="O12" i="18" s="1"/>
  <c r="N13" i="18"/>
  <c r="O13" i="18" s="1"/>
  <c r="N14" i="18"/>
  <c r="O14" i="18" s="1"/>
  <c r="N15" i="18"/>
  <c r="O15" i="18" s="1"/>
  <c r="N16" i="18"/>
  <c r="O16" i="18" s="1"/>
  <c r="N5" i="18"/>
  <c r="O5" i="18" s="1"/>
  <c r="N22" i="31" s="1"/>
  <c r="N23" i="31" s="1"/>
  <c r="M6" i="12"/>
  <c r="N6" i="12" s="1"/>
  <c r="M7" i="12"/>
  <c r="N7" i="12" s="1"/>
  <c r="M8" i="12"/>
  <c r="N8" i="12" s="1"/>
  <c r="M9" i="12"/>
  <c r="N9" i="12" s="1"/>
  <c r="M10" i="12"/>
  <c r="N10" i="12" s="1"/>
  <c r="M11" i="12"/>
  <c r="N11" i="12" s="1"/>
  <c r="M12" i="12"/>
  <c r="N12" i="12" s="1"/>
  <c r="M13" i="12"/>
  <c r="N13" i="12" s="1"/>
  <c r="M14" i="12"/>
  <c r="N14" i="12" s="1"/>
  <c r="M15" i="12"/>
  <c r="N15" i="12" s="1"/>
  <c r="M16" i="12"/>
  <c r="N16" i="12" s="1"/>
  <c r="M5" i="12"/>
  <c r="AM5" i="40" a="1"/>
  <c r="AM5" i="40" s="1"/>
  <c r="AL5" i="40" a="1"/>
  <c r="AL5" i="40" s="1"/>
  <c r="AK5" i="40" a="1"/>
  <c r="AK5" i="40" s="1"/>
  <c r="AM6" i="40" a="1"/>
  <c r="AM6" i="40" s="1"/>
  <c r="AM7" i="40" a="1"/>
  <c r="AM7" i="40" s="1"/>
  <c r="AM8" i="40" a="1"/>
  <c r="AM8" i="40" s="1"/>
  <c r="AM9" i="40" a="1"/>
  <c r="AM9" i="40" s="1"/>
  <c r="AM10" i="40" a="1"/>
  <c r="AM10" i="40" s="1"/>
  <c r="AM11" i="40" a="1"/>
  <c r="AM11" i="40" s="1"/>
  <c r="AM12" i="40" a="1"/>
  <c r="AM12" i="40" s="1"/>
  <c r="AM13" i="40" a="1"/>
  <c r="AM13" i="40" s="1"/>
  <c r="AM14" i="40" a="1"/>
  <c r="AM14" i="40" s="1"/>
  <c r="AM15" i="40" a="1"/>
  <c r="AM15" i="40" s="1"/>
  <c r="AM16" i="40" a="1"/>
  <c r="AM16" i="40" s="1"/>
  <c r="AL6" i="40" a="1"/>
  <c r="AL6" i="40" s="1"/>
  <c r="AL7" i="40" a="1"/>
  <c r="AL7" i="40" s="1"/>
  <c r="AL8" i="40" a="1"/>
  <c r="AL8" i="40" s="1"/>
  <c r="AL9" i="40" a="1"/>
  <c r="AL9" i="40" s="1"/>
  <c r="AL10" i="40" a="1"/>
  <c r="AL10" i="40" s="1"/>
  <c r="AL11" i="40" a="1"/>
  <c r="AL11" i="40" s="1"/>
  <c r="AL12" i="40" a="1"/>
  <c r="AL12" i="40" s="1"/>
  <c r="AL13" i="40" a="1"/>
  <c r="AL13" i="40" s="1"/>
  <c r="AL14" i="40" a="1"/>
  <c r="AL14" i="40" s="1"/>
  <c r="AL15" i="40" a="1"/>
  <c r="AL15" i="40" s="1"/>
  <c r="AL16" i="40" a="1"/>
  <c r="AL16" i="40" s="1"/>
  <c r="AK6" i="40" a="1"/>
  <c r="AK6" i="40" s="1"/>
  <c r="AK7" i="40" a="1"/>
  <c r="AK7" i="40" s="1"/>
  <c r="AK8" i="40" a="1"/>
  <c r="AK8" i="40" s="1"/>
  <c r="AK9" i="40" a="1"/>
  <c r="AK9" i="40" s="1"/>
  <c r="AK10" i="40" a="1"/>
  <c r="AK10" i="40" s="1"/>
  <c r="AK11" i="40" a="1"/>
  <c r="AK11" i="40" s="1"/>
  <c r="AK12" i="40" a="1"/>
  <c r="AK12" i="40" s="1"/>
  <c r="AK13" i="40" a="1"/>
  <c r="AK13" i="40" s="1"/>
  <c r="AK14" i="40" a="1"/>
  <c r="AK14" i="40" s="1"/>
  <c r="AK15" i="40" a="1"/>
  <c r="AK15" i="40" s="1"/>
  <c r="M4" i="12"/>
  <c r="L22" i="31" l="1"/>
  <c r="L23" i="31" s="1"/>
  <c r="P22" i="31"/>
  <c r="P23" i="31" s="1"/>
  <c r="C22" i="31"/>
  <c r="C23" i="31" s="1"/>
  <c r="E22" i="31"/>
  <c r="E23" i="31" s="1"/>
  <c r="G22" i="31"/>
  <c r="G23" i="31" s="1"/>
  <c r="AN14" i="40"/>
  <c r="AN10" i="40"/>
  <c r="AN13" i="40"/>
  <c r="AN6" i="40"/>
  <c r="AN12" i="40"/>
  <c r="AN8" i="40"/>
  <c r="AN15" i="40"/>
  <c r="AN11" i="40"/>
  <c r="AN7" i="40"/>
  <c r="AN5" i="40"/>
  <c r="AN9" i="40"/>
  <c r="AN16" i="4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<sst xmlns="http://schemas.openxmlformats.org/spreadsheetml/2006/main" count="3631" uniqueCount="346">
  <si>
    <t xml:space="preserve">                      แบบบันทึกผลการเรียนประจำรายวิชา ระดับประถมศึกษา</t>
  </si>
  <si>
    <t>โรงเรียน</t>
  </si>
  <si>
    <t xml:space="preserve">  บ้านโพนแท่น</t>
  </si>
  <si>
    <t>อำเภอ</t>
  </si>
  <si>
    <t xml:space="preserve">  เกษตรวิสัย</t>
  </si>
  <si>
    <t>จังหวัด</t>
  </si>
  <si>
    <t>ร้อยเอ็ด</t>
  </si>
  <si>
    <t>ปีการศึกษา</t>
  </si>
  <si>
    <t xml:space="preserve">       ชั้น  ประถมศึกษาปีที่ 1           กลุ่มสาระการเรียนรู้   ภาษาต่างประเทศ</t>
  </si>
  <si>
    <t xml:space="preserve">       รายวิชา ภาษาอังกฤษ</t>
  </si>
  <si>
    <t>รหัสวิชา</t>
  </si>
  <si>
    <t>อ 11101</t>
  </si>
  <si>
    <t>เวลาเรียน</t>
  </si>
  <si>
    <t>ชั่วโมง/ปีการศึกษา</t>
  </si>
  <si>
    <t>ครูผู้สอน</t>
  </si>
  <si>
    <t>ครูประจำชั้น</t>
  </si>
  <si>
    <t xml:space="preserve">นางสาวอำพร  วรวงษ์, นางสาวปาณิสรา  ญาติบำเรอ   </t>
  </si>
  <si>
    <t>สรุปผลการประเมิน</t>
  </si>
  <si>
    <t>จำนวนนักเรียน</t>
  </si>
  <si>
    <t>ระดับผลการเรียน</t>
  </si>
  <si>
    <t>กิจกรรมพัฒนาผู้เรียน</t>
  </si>
  <si>
    <t>ผลการประเมิน</t>
  </si>
  <si>
    <t>ผ่าน</t>
  </si>
  <si>
    <t>ไม่ผ่าน</t>
  </si>
  <si>
    <t>ร</t>
  </si>
  <si>
    <t>มส</t>
  </si>
  <si>
    <t>คิดเป็นร้อยละ</t>
  </si>
  <si>
    <t>ผลการประเมินคุณลักษณะอันพึงประสงค์</t>
  </si>
  <si>
    <t xml:space="preserve">   ผลการประเมินการอ่านคิดวิเคราะห์และเขียน</t>
  </si>
  <si>
    <t>3 = ดีเยี่ยม</t>
  </si>
  <si>
    <t>2 = ดี</t>
  </si>
  <si>
    <t>1 = ผ่าน</t>
  </si>
  <si>
    <t>0 = ไม่ผ่าน</t>
  </si>
  <si>
    <t>คน</t>
  </si>
  <si>
    <t>ร้อยละ</t>
  </si>
  <si>
    <t>การอนุมัติผลการเรียน</t>
  </si>
  <si>
    <t>ลงชื่อ</t>
  </si>
  <si>
    <t>__________________________________</t>
  </si>
  <si>
    <t xml:space="preserve">            (นางสาวอำพร  วรวงษ์)</t>
  </si>
  <si>
    <t>หัวหน้ากลุ่มสาระการเรียนรู้</t>
  </si>
  <si>
    <t xml:space="preserve">              (นางอภิชญา  ปะตาชาลี)</t>
  </si>
  <si>
    <t>หัวหน้างานวัดผลและประเมินผล</t>
  </si>
  <si>
    <t xml:space="preserve">             (นางบัวลอย  บัวไข)</t>
  </si>
  <si>
    <t>เรียนเสนอ  เพื่อโปรดพิจารณา</t>
  </si>
  <si>
    <t>หัวหน้างานวิชาการ</t>
  </si>
  <si>
    <t>(นางดวงใจ   วิจารย์)</t>
  </si>
  <si>
    <t>c</t>
  </si>
  <si>
    <t>อนุมัติ</t>
  </si>
  <si>
    <t>ไม่อนุมัติ</t>
  </si>
  <si>
    <t xml:space="preserve">       _________________________________</t>
  </si>
  <si>
    <t>(นางสาวพัทธ์ธีรา วารุรัง)</t>
  </si>
  <si>
    <t xml:space="preserve">             ผู้อำนวยการโรงเรียนบ้านโพนแท่น</t>
  </si>
  <si>
    <t>วันที่</t>
  </si>
  <si>
    <t>เดือน</t>
  </si>
  <si>
    <t>มีนาคม       พ.ศ.</t>
  </si>
  <si>
    <t>ข้อมูลนักเรียน</t>
  </si>
  <si>
    <t>เลขที่</t>
  </si>
  <si>
    <t>เลขประจำตัว</t>
  </si>
  <si>
    <t>เลขประจำตัวประชาชน</t>
  </si>
  <si>
    <t>ชื่อ -สกุล</t>
  </si>
  <si>
    <t>วันเดือนปีเกิด</t>
  </si>
  <si>
    <t>หมายเหตุ</t>
  </si>
  <si>
    <t>เด็กชายปัณณวิชญ์   เปรียงพรม</t>
  </si>
  <si>
    <t>16 ส.ค.61</t>
  </si>
  <si>
    <t>เด็กชายรัชชานนท์  เทียมกลาง</t>
  </si>
  <si>
    <t>04 ก.ค.61</t>
  </si>
  <si>
    <t>เด็กชายรณกฤต  สองเมือง</t>
  </si>
  <si>
    <t>17 ธ.ค.61</t>
  </si>
  <si>
    <t>เด็กหญิงกรรณิการ์  คงสุดี</t>
  </si>
  <si>
    <t>25 เม.ย.62</t>
  </si>
  <si>
    <t>เด็กหญิงชญานิศ  พันธุเมฆ</t>
  </si>
  <si>
    <t>19 ก.ย.61</t>
  </si>
  <si>
    <t>เด็กหญิงปนัดดา  โพธิสุวรรณ</t>
  </si>
  <si>
    <t>9 ธ.ค.61</t>
  </si>
  <si>
    <t>เด็กหญิงรุ่งนภา  ผดุงภักดี</t>
  </si>
  <si>
    <t>9 ก.ค.61</t>
  </si>
  <si>
    <t>เด็กหญิงพิมพิ์พิชชา  มะลิมาตย์</t>
  </si>
  <si>
    <t>26 มี.ค.62</t>
  </si>
  <si>
    <t>เด็กหญิงพิมพ์รดา  เม้าราษี</t>
  </si>
  <si>
    <t>17 มิ.ย.61</t>
  </si>
  <si>
    <t>เด็กหญิงศศิวิมล  ธนูทอง</t>
  </si>
  <si>
    <t>17 ส.ค.61</t>
  </si>
  <si>
    <t>เด็กชายปัณณวิชญ์   พันธ์เดช</t>
  </si>
  <si>
    <t>11ต.ค. 61</t>
  </si>
  <si>
    <t>เด็กหญิงสุชาดา  ชมภูนาค</t>
  </si>
  <si>
    <t>19 ต.ค. 60</t>
  </si>
  <si>
    <t>การบันทึกเวลาเรียนและการบันทึกการประเมินผลการเรียนรู้</t>
  </si>
  <si>
    <t>การบันทึกเวลาเรียน</t>
  </si>
  <si>
    <t>1.</t>
  </si>
  <si>
    <t>เลขประจำตัว ให้กรอกเลขประจำตัวจากน้อยไปหามาก และกรอกชื่อ – นามสกุล ให้ชัดเจน</t>
  </si>
  <si>
    <t>2.</t>
  </si>
  <si>
    <t>เลขประจำตัวประชาชนให้กรอกตามข้อมูลที่ตรงกับสำเนาทะเบียนบ้าน</t>
  </si>
  <si>
    <t>3.</t>
  </si>
  <si>
    <t>ส. 1- 40 คือ สัปดาห์ที่ 1-40 ในปีการศึกษา</t>
  </si>
  <si>
    <t>4.</t>
  </si>
  <si>
    <t>วันที่ เดือน ปี ให้เขียนตัวย่อ ชั่วโมงเรียน สัปดาห์หนึ่งกำหนดไว้ 5 ช่อง คือ 5 วัน</t>
  </si>
  <si>
    <t>5.</t>
  </si>
  <si>
    <t>การบันทึกเวลาเรียน ต้องบันทึกรายละเอียดดังนี้</t>
  </si>
  <si>
    <t>จำนวนชั่วโมงที่.....ให้เขียน 1,2,3 ถ้าสอนหลายชั่วโมงวันเดียวกันหรือต่อเนื่องให้เขียน 1-2, 3-4</t>
  </si>
  <si>
    <t>ผู้ที่มาเรียนให้ทำเครื่องหมาย "/"</t>
  </si>
  <si>
    <t>ผู้ที่ไม่มาเรียนให้เขียน “ข” หรือ “ล”</t>
  </si>
  <si>
    <t>ถ้านักเรียนลาพักการเรียนหรือลาออกระหว่างปี ให้ขีดเส้นตรงด้วยหมึกสีแดง ตั้งแต่วันพักการเรียนจนถึง</t>
  </si>
  <si>
    <t>วันสุดท้ายที่พักการเรียนหรือลาออก แล้วเขียนคำว่า “พักการเรียน” หรือ “ลาออก” ด้วยหมึกสีน้ำเงิน</t>
  </si>
  <si>
    <t xml:space="preserve">รวมจำนวนชั่วโมงเรียนเมื่อสิ้นสุดภาคเรียน / สิ้นปีการศึกษา ให้รวมเวลาเรียนจริงลงในช่องรวมเวลาเรียน  </t>
  </si>
  <si>
    <t>แล้วกรอกเวลาเรียนเต็มและเวลาเรียน 80 เปอร์เซ็นต์ของรายวิชานั้น ๆ  ไว้ด้านบนและด้านล่างลงในช่อง</t>
  </si>
  <si>
    <t>นักเรียนที่มีเวลาเรียนไม่ถึง 80 เปอร์เซ็นต์ของรายวิชานั้นให้เขียนด้วยหมึกสีแดง</t>
  </si>
  <si>
    <t>บันทึกการประเมินผลการเรียนรู้</t>
  </si>
  <si>
    <t>ให้เขียนตัวชี้วัดการเรียนรู้และคำอธิบายรายวิชาให้ละเอียด</t>
  </si>
  <si>
    <t>เขียนอัตราส่วนของคะแนนระหว่างปีและปลายปี และกรอกรายละเอียดที่ส่วนบนกระดาษให้ละเอียด</t>
  </si>
  <si>
    <t>การบันทึกผลการเรียนจะแยกออกเป็น ดังนี้</t>
  </si>
  <si>
    <t>3.1.</t>
  </si>
  <si>
    <t>คะแนนผลการเรียนก่อนสอบวัดผลกลางปี</t>
  </si>
  <si>
    <t>3.2.</t>
  </si>
  <si>
    <t>คะแนนผลการเรียนหลังสอบวัดผลกลางปี</t>
  </si>
  <si>
    <t>3.3.</t>
  </si>
  <si>
    <t>คะแนนวัดผลกลางปี</t>
  </si>
  <si>
    <t>3.4.</t>
  </si>
  <si>
    <t>คะแนนวัดผลปลายปี</t>
  </si>
  <si>
    <t>ให้เขียนบันทึกคะแนนของแต่ละหน่วยการเรียนรู้ในช่องคะแนน เพื่อทราบผลการประเมินแต่ละครั้ง</t>
  </si>
  <si>
    <t>ก่อนสอบวัดผลกลางปี นำผลที่ได้กรอกในช่องรวมคะแนน</t>
  </si>
  <si>
    <t>หลังสอบวัดผลกลางปี  ให้เขียนบันทึกคะแนนของแต่ละหน่วยการเรียนรู้ในช่องคะแนนหลังสอบกลางปี</t>
  </si>
  <si>
    <t>เพื่อทราบผลการประเมินแต่ละครั้งก่อนสอบวัดผลปลายปี นำผลที่ได้กรอกในช่องรวมคะแนน</t>
  </si>
  <si>
    <t>6.</t>
  </si>
  <si>
    <t>ให้เขียนบันทึกคะแนนสอบวัดผลกลางปีลงในช่องคะแนนกลางปี</t>
  </si>
  <si>
    <t>7.</t>
  </si>
  <si>
    <t>รวมคะแนนก่อนกลางปีกับหลังกลางปี แล้วนำไปกรอกลงในช่องคะแนนรวมระหว่างเรียน</t>
  </si>
  <si>
    <t>8.</t>
  </si>
  <si>
    <t>ให้เขียนบันทึกคะแนนสอบปลายปีลงช่องคะแนนปลายปี  แล้วนำผลคะแนนรวมระหว่างเรียน</t>
  </si>
  <si>
    <t>กับคะแนนสอบปลายปีรวมกัน</t>
  </si>
  <si>
    <t>9.</t>
  </si>
  <si>
    <t>นำผลคะแนนที่ปรับแล้วไปเปรียบเทียบตามเกณฑ์ที่กำหนดดังนี้</t>
  </si>
  <si>
    <t>ความหมาย</t>
  </si>
  <si>
    <t>เทียบกับระบบเปอร์เซ็นต์</t>
  </si>
  <si>
    <t>ผลการเรียนดีเยี่ยม</t>
  </si>
  <si>
    <t>80-100</t>
  </si>
  <si>
    <t>ผลการเรียนดีมาก</t>
  </si>
  <si>
    <t>75-79</t>
  </si>
  <si>
    <t>ผลการเรียนดี</t>
  </si>
  <si>
    <t>70-74</t>
  </si>
  <si>
    <t>ผลการเรียนค่อนข้างดี</t>
  </si>
  <si>
    <t>65-69</t>
  </si>
  <si>
    <t>ผลการเรียนน่าพอใจ</t>
  </si>
  <si>
    <t>60-64</t>
  </si>
  <si>
    <t>ผลการเรียนพอใช้</t>
  </si>
  <si>
    <t>55-59</t>
  </si>
  <si>
    <t>ผลการเรียนผ่านเกณฑ์ขั้นต่ำ</t>
  </si>
  <si>
    <t>50-54</t>
  </si>
  <si>
    <t>ผลการเรียนต่ำกว่าเกณฑ์</t>
  </si>
  <si>
    <t>0-49</t>
  </si>
  <si>
    <t>การประเมินคุณลักษณะอันพึงประสงค์</t>
  </si>
  <si>
    <t>ผู้สอนมีหน้าที่ประเมินคุณลักษณะอันพึงประสงค์ ตามที่คณะกรรมการกำหนดคุณลักษณะ</t>
  </si>
  <si>
    <t>อันพึงประสงค์ของโรงเรียนที่กำหนดไว้</t>
  </si>
  <si>
    <t xml:space="preserve">การประเมินให้ประเมินเป็นรายภาคเรียนและตัดสินผลการเรียนรวมในชั้นสุดท้าย ของแต่ละช่วงชั้น </t>
  </si>
  <si>
    <t>ความหมายของการประเมินคุณลักษณะอันพึงประสงค์</t>
  </si>
  <si>
    <t>-</t>
  </si>
  <si>
    <t>=</t>
  </si>
  <si>
    <t>ดีเยี่ยม</t>
  </si>
  <si>
    <t>ดี</t>
  </si>
  <si>
    <t>ผ่านเกณฑ์การประเมิน</t>
  </si>
  <si>
    <t>การประเมินการอ่าน คิดวิเคราะห์ และเขียน</t>
  </si>
  <si>
    <t xml:space="preserve">ผู้สอนในสาระต่าง ๆ ควรจัดกิจกรรมที่ได้ฝึกและมีการประเมินความสามารถในการอ่าน คิดวิเคราะห์ </t>
  </si>
  <si>
    <t>และเขียนสื่อความ อย่างเหมาะสมและมีคุณค่าตามศักยภาพแท้จริงของผู้เรียน</t>
  </si>
  <si>
    <t>ผู้เรียนต้องผ่านการตรวจสอบหรือประเมินในการอ่าน คิดวิเคราะห์ และเขียนสื่อความได้คะแนน</t>
  </si>
  <si>
    <t>ไม่ต่ำกว่าร้อยละ 70</t>
  </si>
  <si>
    <t xml:space="preserve">การประเมินให้ประเมินรายภาคเรียนและตัดสินผลการเรียนรวมในชั้นสุดท้าย ของแต่ละช่วงชั้น </t>
  </si>
  <si>
    <t>ความหมายของการประเมินการอ่าน คิดวิเคราะห์ และเขียนสื่อความ</t>
  </si>
  <si>
    <t>เลขประจำตัว
ประชาชน</t>
  </si>
  <si>
    <t>สัปดาห์</t>
  </si>
  <si>
    <t>พ.ค.</t>
  </si>
  <si>
    <t>พ.ค. - มิ.ย.</t>
  </si>
  <si>
    <t>มิ.ย.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</si>
  <si>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</si>
  <si>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</si>
  <si>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</si>
  <si>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</si>
  <si>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</si>
  <si>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</si>
  <si>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</si>
  <si>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</si>
  <si>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</si>
  <si>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</si>
  <si>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</si>
  <si>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</si>
  <si>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</si>
  <si>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</si>
  <si>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</si>
  <si>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</si>
  <si>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</si>
  <si>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</si>
  <si>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</si>
  <si>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</si>
  <si>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</si>
  <si>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</si>
  <si>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</si>
  <si>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</si>
  <si>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ชั่วโมงที่</t>
  </si>
  <si>
    <t>ศ</t>
  </si>
  <si>
    <t>ส</t>
  </si>
  <si>
    <t>อา</t>
  </si>
  <si>
    <t>จ</t>
  </si>
  <si>
    <t>อ</t>
  </si>
  <si>
    <t>พ</t>
  </si>
  <si>
    <t>พฤ</t>
  </si>
  <si>
    <t>/</t>
  </si>
  <si>
    <t>ล</t>
  </si>
  <si>
    <t>ข</t>
  </si>
  <si>
    <t>2 มิถุนายน 2568   เป็นวันหยุดราชการพิเศษ</t>
  </si>
  <si>
    <t xml:space="preserve">    3 มิถุนายน 2568 หยุดชดเชยวันเฉลิมพระชนมพรรษาสมเด็จพระนางเจ้าฯ พระบรมราชินี</t>
  </si>
  <si>
    <t xml:space="preserve">มิ.ย. </t>
  </si>
  <si>
    <t>มิ.ย. - ก.ค.</t>
  </si>
  <si>
    <t>ก.ค.</t>
  </si>
  <si>
    <t>10</t>
  </si>
  <si>
    <t>11</t>
  </si>
  <si>
    <t>12</t>
  </si>
  <si>
    <t>13</t>
  </si>
  <si>
    <t>14</t>
  </si>
  <si>
    <t>15</t>
  </si>
  <si>
    <t>9</t>
  </si>
  <si>
    <t xml:space="preserve">        หมายเหตุ</t>
  </si>
  <si>
    <t>10 กรกฎาคม 2568 หยุดวันอาสาฬหบูชา</t>
  </si>
  <si>
    <t>11  กรกฎาคม 2568  หยุดวันเข้าพรรษา</t>
  </si>
  <si>
    <t>ก.ค. -ส.ค.</t>
  </si>
  <si>
    <t>ส.ค.</t>
  </si>
  <si>
    <t>ก.ย.</t>
  </si>
  <si>
    <t>28  กรกฎาคม  2568 หยุดวันเฉลิมพระชนพรรษาพระบาทสมเด็จพระเจ้าอยู่หัว (รัชกาลที่ 10)</t>
  </si>
  <si>
    <t xml:space="preserve">12  สิงหาคม 2567  หยุดวันเฉลิมพระพรรษาสมเด็จพระนางเจ้าสิริกิติ์  </t>
  </si>
  <si>
    <t xml:space="preserve">ก.ย. </t>
  </si>
  <si>
    <t>ก.ย - ต.ค</t>
  </si>
  <si>
    <t>ต.ค.</t>
  </si>
  <si>
    <t>พ.ย.</t>
  </si>
  <si>
    <t>11 - 31 ตุลาคม 2568  ปิดภาคเรียนที่ 1 ปีการศึกษา 2568</t>
  </si>
  <si>
    <t xml:space="preserve">พ.ย. </t>
  </si>
  <si>
    <t>ธ.ค.</t>
  </si>
  <si>
    <t>ธ.ค. - ม.ค.</t>
  </si>
  <si>
    <t xml:space="preserve">                 วันที่ 5   หยุดวันพ่อแห่งชาติ  รัชกาลที่ 9</t>
  </si>
  <si>
    <t>วันที่  10  หยุดวันรัฐธรรมนูญ</t>
  </si>
  <si>
    <t xml:space="preserve">                          วันที่ 31  หยุดวันสิ้นปี</t>
  </si>
  <si>
    <t xml:space="preserve">                          1มกราคม 2567  วันขึ้นปีใหม่</t>
  </si>
  <si>
    <t>ม.ค.</t>
  </si>
  <si>
    <t>ก.พ.</t>
  </si>
  <si>
    <t xml:space="preserve">   16  มกราคม 2568  วันครู</t>
  </si>
  <si>
    <t xml:space="preserve">   12  กุมภาพันธ์ 2568  วันมาฆบูชา</t>
  </si>
  <si>
    <t xml:space="preserve">รวมเวลาเรียน </t>
  </si>
  <si>
    <t>มี.ค.</t>
  </si>
  <si>
    <t>รวมลา</t>
  </si>
  <si>
    <t>รวมขาด</t>
  </si>
  <si>
    <t>รวมมา</t>
  </si>
  <si>
    <t>ชื่อ - สกุล</t>
  </si>
  <si>
    <t>ตัวชี้วัดการเรียนรู้</t>
  </si>
  <si>
    <t>คะแนนระหว่างเรียน</t>
  </si>
  <si>
    <t>ตัวชี้วัดการเรียนรู้/ผลการเรียนรู้ที่คาดหวัง</t>
  </si>
  <si>
    <t>คะแนน</t>
  </si>
  <si>
    <t>รวมคะแนน</t>
  </si>
  <si>
    <t>สอบแก้ตัว</t>
  </si>
  <si>
    <t>ระหว่างเรียน</t>
  </si>
  <si>
    <t>สอบกลางภาค</t>
  </si>
  <si>
    <t>สอบปลาภาค</t>
  </si>
  <si>
    <t>ทั้งหมด</t>
  </si>
  <si>
    <t>คำอธิบายรายวิชา</t>
  </si>
  <si>
    <t>คุณลักษณะอันพึงประสงค์</t>
  </si>
  <si>
    <t>รวม</t>
  </si>
  <si>
    <t>เกณฑ์การประเมิน</t>
  </si>
  <si>
    <t>1. รักชาติ ศาสนา พระมหากษัตริย์</t>
  </si>
  <si>
    <t>5. อยู่อย่างพอเพียง</t>
  </si>
  <si>
    <t>00-49 คะแนน</t>
  </si>
  <si>
    <t>2. ซื่อสัตย์สุจริต</t>
  </si>
  <si>
    <t>6.มุ่งมั่นในการทำงาน</t>
  </si>
  <si>
    <t>50-59 คะแนน</t>
  </si>
  <si>
    <t>ผ่านเกณฑ์</t>
  </si>
  <si>
    <t>3. มีวินัย</t>
  </si>
  <si>
    <t>7. รักความเป็นไทย</t>
  </si>
  <si>
    <t>60-69 คะแนน</t>
  </si>
  <si>
    <t>4. ใฝ่เรียนรู้</t>
  </si>
  <si>
    <t>8. มีจิตสาธารณะ</t>
  </si>
  <si>
    <t>70-80 คะแนน</t>
  </si>
  <si>
    <t>อ่าน  คิดวิเคราะห์และเขียน</t>
  </si>
  <si>
    <t>อ่าน</t>
  </si>
  <si>
    <t>คิดวิเคราะห์</t>
  </si>
  <si>
    <t>เขียน</t>
  </si>
  <si>
    <t>การอ่าน</t>
  </si>
  <si>
    <t>การเขียน</t>
  </si>
  <si>
    <r>
      <rPr>
        <sz val="14"/>
        <color theme="0"/>
        <rFont val="TH SarabunPSK"/>
        <family val="2"/>
      </rPr>
      <t>0</t>
    </r>
    <r>
      <rPr>
        <sz val="14"/>
        <rFont val="TH SarabunPSK"/>
        <family val="2"/>
      </rPr>
      <t>0-69</t>
    </r>
  </si>
  <si>
    <t xml:space="preserve">1. อ่านได้ถูกต้อง </t>
  </si>
  <si>
    <t>1. เขียนได้ถูกต้อง</t>
  </si>
  <si>
    <t>70-79</t>
  </si>
  <si>
    <t xml:space="preserve">    คล่องแคล่ว</t>
  </si>
  <si>
    <t>สะอาดเป็นระเบียบ</t>
  </si>
  <si>
    <t>80-89</t>
  </si>
  <si>
    <t>2. เข้าใจและถ่ายทอด</t>
  </si>
  <si>
    <t>2.เขียนสื่อความหมาย</t>
  </si>
  <si>
    <t>90-100</t>
  </si>
  <si>
    <t xml:space="preserve">    สิ่งที่อ่านได้</t>
  </si>
  <si>
    <t>ได้ถูกต้อง</t>
  </si>
  <si>
    <t>3. มีนิสัยรักการอ่าน</t>
  </si>
  <si>
    <t>3. เขียนได้ตรงตาม</t>
  </si>
  <si>
    <t xml:space="preserve">    จุดประสงค์</t>
  </si>
  <si>
    <t>คะแนนการวัดและประเมินผลนักเรียนระดับประถมศึกษา</t>
  </si>
  <si>
    <t>รายวิชา</t>
  </si>
  <si>
    <t>ปลายปี</t>
  </si>
  <si>
    <t>ภาษาไทย</t>
  </si>
  <si>
    <t>คณิตศาสตร์</t>
  </si>
  <si>
    <t>วิทยาศาสตร์</t>
  </si>
  <si>
    <t>สังคมศึกษา</t>
  </si>
  <si>
    <t>ประวัติศาสตร์</t>
  </si>
  <si>
    <t>ศิลปะ</t>
  </si>
  <si>
    <t>สุขศึกษาพลศึกษา</t>
  </si>
  <si>
    <t>การงานอาชีพ</t>
  </si>
  <si>
    <t>ภาษาอังกฤษ</t>
  </si>
  <si>
    <t xml:space="preserve">  วิทยาการคำนวณ</t>
  </si>
  <si>
    <t xml:space="preserve">  การป้องกันการทุจริต</t>
  </si>
  <si>
    <t>คะแนนระหว่างเรียนระดับประถมศึกษา</t>
  </si>
  <si>
    <t>กลุ่มที่ 1</t>
  </si>
  <si>
    <t>คะแนนปลายปี</t>
  </si>
  <si>
    <t>70 คะแนน</t>
  </si>
  <si>
    <t>:</t>
  </si>
  <si>
    <t>30  คะแนน</t>
  </si>
  <si>
    <t>ก่อนกลางปี</t>
  </si>
  <si>
    <t>สอบกลางปี</t>
  </si>
  <si>
    <t>หลังกลางปี</t>
  </si>
  <si>
    <t>สอบปลายปี</t>
  </si>
  <si>
    <t>กลุ่มที่ 2</t>
  </si>
  <si>
    <t xml:space="preserve">คะแนนระหว่างเรียน </t>
  </si>
  <si>
    <t>80 คะแนน</t>
  </si>
  <si>
    <t>20  คะแนน</t>
  </si>
  <si>
    <t xml:space="preserve">     ตัวชี้วัดการเรียนรู้  รายวิชา ภาษาอังกฤษ</t>
  </si>
  <si>
    <t xml:space="preserve">รหัสวิชา อ11101 </t>
  </si>
  <si>
    <t>เด็กหญิงอริสา วรเลิศ</t>
  </si>
  <si>
    <t>ต 1.1 ป.1/1</t>
  </si>
  <si>
    <t>ต 1.1 ป.1/3</t>
  </si>
  <si>
    <t>ต 1.2 ป.1/1</t>
  </si>
  <si>
    <t>ต 1.2 ป.1/2</t>
  </si>
  <si>
    <t>ต 1.2 ป.1/3</t>
  </si>
  <si>
    <t>ต 1.2 ป.1/4</t>
  </si>
  <si>
    <t>ต 2.1 ป.1/1</t>
  </si>
  <si>
    <t>ต 2.1 ป.1/2</t>
  </si>
  <si>
    <t>ต 2.2 ป.1/1</t>
  </si>
  <si>
    <t>ต 3.1 ป.1/1</t>
  </si>
  <si>
    <t>ต 1.1 ป.1/2</t>
  </si>
  <si>
    <t>ต 1.1 ป.1/4</t>
  </si>
  <si>
    <t>ต 1.3 ป.1/1</t>
  </si>
  <si>
    <t>ต 2.1 ป.1/3</t>
  </si>
  <si>
    <t>ต 4.1 ป.1/1</t>
  </si>
  <si>
    <t>ต 4.2 ป.1/1</t>
  </si>
  <si>
    <t xml:space="preserve">   (นายพิมล ตุ่นกระโทก) </t>
  </si>
  <si>
    <t>9 ต.ค. 61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</si>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</sst>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870000]d/mm/yyyy;@"/>
  </numFmts>
  <fonts count="27">
    <font>
      <sz val="11"/>
      <color theme="1"/>
      <name val="Calibri"/>
      <family val="2"/>
      <charset val="222"/>
      <scheme val="minor"/>
    </font>
    <font>
      <b/>
      <sz val="22"/>
      <color theme="1"/>
      <name val="TH SarabunPSK"/>
      <family val="2"/>
    </font>
    <font>
      <sz val="11"/>
      <color theme="1"/>
      <name val="TH SarabunPSK"/>
      <family val="2"/>
    </font>
    <font>
      <sz val="11"/>
      <name val="TH SarabunPSK"/>
      <family val="2"/>
    </font>
    <font>
      <sz val="14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PSK"/>
      <family val="2"/>
    </font>
    <font>
      <b/>
      <sz val="14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2"/>
      <name val="TH SarabunPSK"/>
      <family val="2"/>
    </font>
    <font>
      <sz val="14"/>
      <color theme="0"/>
      <name val="TH SarabunPSK"/>
      <family val="2"/>
    </font>
    <font>
      <sz val="14"/>
      <color theme="1"/>
      <name val="TH SarabunPSK"/>
      <family val="2"/>
    </font>
    <font>
      <sz val="16"/>
      <color indexed="9"/>
      <name val="TH SarabunPSK"/>
      <family val="2"/>
    </font>
    <font>
      <sz val="10"/>
      <name val="TH SarabunPSK"/>
      <family val="2"/>
    </font>
    <font>
      <sz val="12"/>
      <name val="TH Chakra Petch"/>
    </font>
    <font>
      <sz val="13.5"/>
      <name val="TH SarabunPSK"/>
      <family val="2"/>
    </font>
    <font>
      <sz val="15"/>
      <name val="TH SarabunPSK"/>
      <family val="2"/>
    </font>
    <font>
      <b/>
      <sz val="18"/>
      <color theme="1"/>
      <name val="TH SarabunPSK"/>
      <family val="2"/>
    </font>
    <font>
      <b/>
      <sz val="20"/>
      <color theme="1"/>
      <name val="TH SarabunPSK"/>
      <family val="2"/>
    </font>
    <font>
      <b/>
      <sz val="15"/>
      <color theme="1"/>
      <name val="TH SarabunPSK"/>
      <family val="2"/>
    </font>
    <font>
      <b/>
      <sz val="14"/>
      <color theme="1"/>
      <name val="TH SarabunPSK"/>
      <family val="2"/>
    </font>
    <font>
      <sz val="16"/>
      <color theme="1"/>
      <name val="Webdings"/>
      <family val="1"/>
      <charset val="2"/>
    </font>
    <font>
      <b/>
      <sz val="18"/>
      <name val="TH SarabunPSK"/>
      <family val="2"/>
    </font>
    <font>
      <b/>
      <sz val="13"/>
      <name val="TH SarabunPSK"/>
      <family val="2"/>
    </font>
    <font>
      <b/>
      <sz val="11"/>
      <color theme="1"/>
      <name val="TH SarabunPSK"/>
      <family val="2"/>
    </font>
    <font>
      <b/>
      <sz val="1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rgb="FF000000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2" fillId="0" borderId="0" xfId="0" applyFont="1"/>
    <xf numFmtId="0" fontId="9" fillId="0" borderId="0" xfId="0" applyFont="1"/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 applyProtection="1">
      <alignment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/>
    <xf numFmtId="0" fontId="4" fillId="0" borderId="0" xfId="0" applyFont="1" applyAlignment="1">
      <alignment vertical="center"/>
    </xf>
    <xf numFmtId="0" fontId="12" fillId="0" borderId="0" xfId="0" applyFont="1"/>
    <xf numFmtId="0" fontId="4" fillId="0" borderId="16" xfId="0" applyFont="1" applyBorder="1" applyAlignment="1" applyProtection="1">
      <alignment horizontal="right" vertical="center"/>
      <protection locked="0"/>
    </xf>
    <xf numFmtId="0" fontId="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8" fillId="0" borderId="0" xfId="0" applyFont="1"/>
    <xf numFmtId="0" fontId="13" fillId="0" borderId="0" xfId="0" applyFont="1"/>
    <xf numFmtId="0" fontId="4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10" fillId="0" borderId="0" xfId="0" applyFont="1"/>
    <xf numFmtId="49" fontId="3" fillId="2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indent="1"/>
    </xf>
    <xf numFmtId="0" fontId="6" fillId="0" borderId="0" xfId="0" applyFont="1"/>
    <xf numFmtId="0" fontId="9" fillId="0" borderId="0" xfId="0" applyFont="1" applyAlignment="1">
      <alignment vertical="top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8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14" fillId="2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2" borderId="0" xfId="0" applyFont="1" applyFill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7" fillId="0" borderId="3" xfId="0" applyFont="1" applyBorder="1" applyAlignment="1" applyProtection="1">
      <alignment horizontal="center" vertical="center"/>
      <protection locked="0" hidden="1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5" xfId="0" applyFont="1" applyBorder="1" applyAlignment="1" applyProtection="1">
      <alignment vertical="center"/>
      <protection locked="0"/>
    </xf>
    <xf numFmtId="0" fontId="10" fillId="0" borderId="4" xfId="0" applyFont="1" applyBorder="1" applyAlignment="1">
      <alignment vertical="center"/>
    </xf>
    <xf numFmtId="0" fontId="4" fillId="0" borderId="11" xfId="0" applyFont="1" applyBorder="1" applyAlignment="1" applyProtection="1">
      <alignment vertical="center"/>
      <protection locked="0"/>
    </xf>
    <xf numFmtId="0" fontId="10" fillId="0" borderId="10" xfId="0" applyFont="1" applyBorder="1" applyAlignment="1">
      <alignment vertical="center"/>
    </xf>
    <xf numFmtId="0" fontId="4" fillId="0" borderId="9" xfId="0" applyFont="1" applyBorder="1" applyAlignment="1" applyProtection="1">
      <alignment vertical="center"/>
      <protection locked="0"/>
    </xf>
    <xf numFmtId="0" fontId="2" fillId="0" borderId="8" xfId="0" applyFont="1" applyBorder="1"/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horizontal="right" vertical="center"/>
      <protection locked="0"/>
    </xf>
    <xf numFmtId="0" fontId="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11" xfId="0" applyFont="1" applyBorder="1"/>
    <xf numFmtId="0" fontId="2" fillId="0" borderId="11" xfId="0" applyFont="1" applyBorder="1"/>
    <xf numFmtId="0" fontId="2" fillId="0" borderId="10" xfId="0" applyFont="1" applyBorder="1"/>
    <xf numFmtId="0" fontId="2" fillId="0" borderId="1" xfId="0" applyFont="1" applyBorder="1"/>
    <xf numFmtId="0" fontId="2" fillId="0" borderId="9" xfId="0" applyFont="1" applyBorder="1"/>
    <xf numFmtId="0" fontId="4" fillId="0" borderId="5" xfId="0" applyFont="1" applyBorder="1" applyAlignment="1">
      <alignment vertical="center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11" xfId="0" applyFont="1" applyBorder="1" applyAlignment="1">
      <alignment vertical="center"/>
    </xf>
    <xf numFmtId="0" fontId="4" fillId="0" borderId="10" xfId="0" applyFont="1" applyBorder="1" applyAlignment="1" applyProtection="1">
      <alignment vertical="center"/>
      <protection locked="0"/>
    </xf>
    <xf numFmtId="0" fontId="12" fillId="0" borderId="10" xfId="0" applyFont="1" applyBorder="1"/>
    <xf numFmtId="0" fontId="16" fillId="0" borderId="0" xfId="0" applyFont="1" applyAlignment="1" applyProtection="1">
      <alignment vertical="center"/>
      <protection locked="0"/>
    </xf>
    <xf numFmtId="49" fontId="14" fillId="3" borderId="3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0" fontId="9" fillId="6" borderId="0" xfId="0" applyFont="1" applyFill="1"/>
    <xf numFmtId="0" fontId="18" fillId="6" borderId="0" xfId="0" applyFont="1" applyFill="1" applyAlignment="1">
      <alignment vertical="center"/>
    </xf>
    <xf numFmtId="0" fontId="18" fillId="6" borderId="0" xfId="0" applyFont="1" applyFill="1" applyAlignment="1">
      <alignment horizontal="center" vertical="top"/>
    </xf>
    <xf numFmtId="0" fontId="19" fillId="6" borderId="0" xfId="0" applyFont="1" applyFill="1" applyAlignment="1">
      <alignment horizontal="center" vertical="top"/>
    </xf>
    <xf numFmtId="0" fontId="6" fillId="6" borderId="0" xfId="0" applyFont="1" applyFill="1" applyAlignment="1">
      <alignment vertical="justify"/>
    </xf>
    <xf numFmtId="1" fontId="9" fillId="6" borderId="3" xfId="0" applyNumberFormat="1" applyFont="1" applyFill="1" applyBorder="1" applyAlignment="1">
      <alignment horizontal="center" vertical="top"/>
    </xf>
    <xf numFmtId="0" fontId="9" fillId="6" borderId="3" xfId="0" applyFont="1" applyFill="1" applyBorder="1" applyAlignment="1">
      <alignment horizontal="center" vertical="top"/>
    </xf>
    <xf numFmtId="2" fontId="9" fillId="6" borderId="3" xfId="0" applyNumberFormat="1" applyFont="1" applyFill="1" applyBorder="1" applyAlignment="1">
      <alignment horizontal="center" vertical="top"/>
    </xf>
    <xf numFmtId="0" fontId="6" fillId="6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vertical="justify"/>
    </xf>
    <xf numFmtId="0" fontId="9" fillId="6" borderId="0" xfId="0" applyFont="1" applyFill="1" applyAlignment="1">
      <alignment vertical="justify"/>
    </xf>
    <xf numFmtId="0" fontId="2" fillId="0" borderId="0" xfId="0" applyFont="1" applyAlignment="1">
      <alignment horizontal="left" indent="1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0" fontId="4" fillId="2" borderId="0" xfId="0" applyFont="1" applyFill="1"/>
    <xf numFmtId="0" fontId="23" fillId="2" borderId="0" xfId="0" applyFont="1" applyFill="1"/>
    <xf numFmtId="0" fontId="5" fillId="2" borderId="0" xfId="0" applyFont="1" applyFill="1"/>
    <xf numFmtId="49" fontId="8" fillId="2" borderId="0" xfId="0" applyNumberFormat="1" applyFont="1" applyFill="1" applyAlignment="1">
      <alignment horizontal="right"/>
    </xf>
    <xf numFmtId="0" fontId="8" fillId="2" borderId="0" xfId="0" applyFont="1" applyFill="1"/>
    <xf numFmtId="164" fontId="8" fillId="2" borderId="0" xfId="0" applyNumberFormat="1" applyFont="1" applyFill="1"/>
    <xf numFmtId="0" fontId="8" fillId="2" borderId="0" xfId="0" applyFont="1" applyFill="1" applyAlignment="1">
      <alignment horizontal="left"/>
    </xf>
    <xf numFmtId="1" fontId="8" fillId="2" borderId="0" xfId="0" applyNumberFormat="1" applyFont="1" applyFill="1" applyAlignment="1">
      <alignment horizontal="center"/>
    </xf>
    <xf numFmtId="1" fontId="8" fillId="2" borderId="0" xfId="0" applyNumberFormat="1" applyFont="1" applyFill="1"/>
    <xf numFmtId="1" fontId="4" fillId="2" borderId="0" xfId="0" applyNumberFormat="1" applyFont="1" applyFill="1"/>
    <xf numFmtId="1" fontId="4" fillId="0" borderId="0" xfId="0" applyNumberFormat="1" applyFont="1"/>
    <xf numFmtId="0" fontId="8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9" fillId="0" borderId="1" xfId="0" applyFont="1" applyBorder="1"/>
    <xf numFmtId="0" fontId="9" fillId="0" borderId="15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2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6" borderId="0" xfId="0" applyFont="1" applyFill="1"/>
    <xf numFmtId="0" fontId="8" fillId="0" borderId="3" xfId="0" quotePrefix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8" fillId="0" borderId="3" xfId="0" applyFont="1" applyBorder="1"/>
    <xf numFmtId="0" fontId="9" fillId="0" borderId="3" xfId="0" applyFont="1" applyBorder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2" borderId="13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 hidden="1"/>
    </xf>
    <xf numFmtId="0" fontId="17" fillId="0" borderId="3" xfId="0" quotePrefix="1" applyFont="1" applyBorder="1" applyAlignment="1">
      <alignment horizontal="center" vertical="center"/>
    </xf>
    <xf numFmtId="0" fontId="17" fillId="0" borderId="3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/>
      <protection locked="0" hidden="1"/>
    </xf>
    <xf numFmtId="0" fontId="4" fillId="0" borderId="3" xfId="0" quotePrefix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left" vertical="center"/>
      <protection locked="0"/>
    </xf>
    <xf numFmtId="165" fontId="9" fillId="0" borderId="3" xfId="0" applyNumberFormat="1" applyFont="1" applyBorder="1" applyAlignment="1" applyProtection="1">
      <alignment horizontal="center" vertical="center" wrapText="1"/>
      <protection locked="0"/>
    </xf>
    <xf numFmtId="0" fontId="12" fillId="0" borderId="3" xfId="0" quotePrefix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/>
    </xf>
    <xf numFmtId="49" fontId="14" fillId="7" borderId="3" xfId="0" applyNumberFormat="1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2" fontId="9" fillId="0" borderId="3" xfId="0" applyNumberFormat="1" applyFont="1" applyBorder="1" applyAlignment="1" applyProtection="1">
      <alignment horizontal="left"/>
      <protection locked="0"/>
    </xf>
    <xf numFmtId="0" fontId="8" fillId="0" borderId="3" xfId="0" applyFont="1" applyBorder="1" applyAlignment="1">
      <alignment horizontal="left" vertical="center"/>
    </xf>
    <xf numFmtId="12" fontId="9" fillId="0" borderId="3" xfId="0" applyNumberFormat="1" applyFont="1" applyBorder="1" applyAlignment="1" applyProtection="1">
      <alignment horizontal="left" vertical="center"/>
      <protection locked="0"/>
    </xf>
    <xf numFmtId="1" fontId="9" fillId="0" borderId="3" xfId="0" applyNumberFormat="1" applyFont="1" applyBorder="1" applyAlignment="1" applyProtection="1">
      <alignment horizontal="left" vertical="center" wrapText="1"/>
      <protection locked="0"/>
    </xf>
    <xf numFmtId="1" fontId="9" fillId="0" borderId="3" xfId="0" applyNumberFormat="1" applyFont="1" applyBorder="1" applyAlignment="1" applyProtection="1">
      <alignment horizontal="left" vertical="center"/>
      <protection locked="0"/>
    </xf>
    <xf numFmtId="1" fontId="8" fillId="0" borderId="3" xfId="0" applyNumberFormat="1" applyFont="1" applyBorder="1" applyAlignment="1">
      <alignment horizontal="left" vertical="center"/>
    </xf>
    <xf numFmtId="0" fontId="9" fillId="6" borderId="0" xfId="0" applyFont="1" applyFill="1" applyAlignment="1">
      <alignment horizontal="left" vertical="justify"/>
    </xf>
    <xf numFmtId="0" fontId="9" fillId="6" borderId="0" xfId="0" applyFont="1" applyFill="1" applyAlignment="1">
      <alignment horizontal="center" vertical="top"/>
    </xf>
    <xf numFmtId="0" fontId="6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6" fillId="6" borderId="3" xfId="0" applyFont="1" applyFill="1" applyBorder="1" applyAlignment="1">
      <alignment horizontal="center"/>
    </xf>
    <xf numFmtId="0" fontId="6" fillId="6" borderId="0" xfId="0" applyFont="1" applyFill="1" applyAlignment="1">
      <alignment horizontal="center" vertical="justify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textRotation="90"/>
    </xf>
    <xf numFmtId="0" fontId="6" fillId="6" borderId="0" xfId="0" applyFont="1" applyFill="1" applyAlignment="1">
      <alignment horizontal="center" vertical="justify"/>
    </xf>
    <xf numFmtId="0" fontId="20" fillId="6" borderId="0" xfId="0" applyFont="1" applyFill="1" applyAlignment="1">
      <alignment horizontal="center" vertical="justify"/>
    </xf>
    <xf numFmtId="0" fontId="18" fillId="6" borderId="0" xfId="0" applyFont="1" applyFill="1" applyAlignment="1">
      <alignment horizontal="right" vertical="justify"/>
    </xf>
    <xf numFmtId="0" fontId="18" fillId="6" borderId="0" xfId="0" applyFont="1" applyFill="1" applyAlignment="1">
      <alignment horizontal="center" vertical="justify"/>
    </xf>
    <xf numFmtId="0" fontId="18" fillId="6" borderId="0" xfId="0" applyFont="1" applyFill="1" applyAlignment="1">
      <alignment horizontal="left" vertical="justify"/>
    </xf>
    <xf numFmtId="0" fontId="18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left"/>
    </xf>
    <xf numFmtId="0" fontId="6" fillId="6" borderId="0" xfId="0" applyFont="1" applyFill="1" applyAlignment="1">
      <alignment horizontal="left" vertical="center"/>
    </xf>
    <xf numFmtId="0" fontId="6" fillId="6" borderId="3" xfId="0" applyFont="1" applyFill="1" applyBorder="1" applyAlignment="1">
      <alignment horizontal="center" vertical="top"/>
    </xf>
    <xf numFmtId="2" fontId="9" fillId="6" borderId="13" xfId="0" applyNumberFormat="1" applyFont="1" applyFill="1" applyBorder="1" applyAlignment="1">
      <alignment horizontal="center" vertical="top"/>
    </xf>
    <xf numFmtId="2" fontId="9" fillId="6" borderId="14" xfId="0" applyNumberFormat="1" applyFont="1" applyFill="1" applyBorder="1" applyAlignment="1">
      <alignment horizontal="center" vertical="top"/>
    </xf>
    <xf numFmtId="0" fontId="6" fillId="6" borderId="0" xfId="0" applyFont="1" applyFill="1" applyAlignment="1">
      <alignment horizontal="left" vertical="justify"/>
    </xf>
    <xf numFmtId="0" fontId="6" fillId="6" borderId="1" xfId="0" applyFont="1" applyFill="1" applyBorder="1" applyAlignment="1">
      <alignment horizontal="left"/>
    </xf>
    <xf numFmtId="0" fontId="21" fillId="6" borderId="4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 vertical="top"/>
    </xf>
    <xf numFmtId="0" fontId="9" fillId="6" borderId="14" xfId="0" applyFont="1" applyFill="1" applyBorder="1" applyAlignment="1">
      <alignment horizontal="center" vertical="top"/>
    </xf>
    <xf numFmtId="0" fontId="6" fillId="6" borderId="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left" vertical="justify"/>
    </xf>
    <xf numFmtId="0" fontId="9" fillId="6" borderId="0" xfId="0" applyFont="1" applyFill="1" applyAlignment="1">
      <alignment horizontal="left"/>
    </xf>
    <xf numFmtId="0" fontId="9" fillId="6" borderId="0" xfId="0" applyFont="1" applyFill="1" applyAlignment="1">
      <alignment horizontal="center"/>
    </xf>
    <xf numFmtId="0" fontId="9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justify"/>
    </xf>
    <xf numFmtId="0" fontId="9" fillId="6" borderId="0" xfId="0" applyFont="1" applyFill="1" applyAlignment="1">
      <alignment horizontal="center" vertical="top"/>
    </xf>
    <xf numFmtId="0" fontId="9" fillId="6" borderId="0" xfId="0" applyFont="1" applyFill="1" applyAlignment="1">
      <alignment horizontal="left" vertical="top"/>
    </xf>
    <xf numFmtId="0" fontId="23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textRotation="90"/>
    </xf>
    <xf numFmtId="0" fontId="5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49" fontId="7" fillId="2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7" fillId="2" borderId="3" xfId="0" applyFont="1" applyFill="1" applyBorder="1" applyAlignment="1">
      <alignment horizontal="center" vertical="center" textRotation="90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49" fontId="7" fillId="2" borderId="15" xfId="0" applyNumberFormat="1" applyFont="1" applyFill="1" applyBorder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/>
    </xf>
    <xf numFmtId="49" fontId="7" fillId="2" borderId="13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5" fillId="2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textRotation="90"/>
    </xf>
    <xf numFmtId="0" fontId="7" fillId="2" borderId="3" xfId="0" applyFont="1" applyFill="1" applyBorder="1" applyAlignment="1" applyProtection="1">
      <alignment horizontal="center" vertical="center" textRotation="90"/>
      <protection hidden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textRotation="90"/>
    </xf>
    <xf numFmtId="0" fontId="4" fillId="0" borderId="3" xfId="0" applyFont="1" applyBorder="1" applyAlignment="1">
      <alignment horizontal="center" textRotation="90" wrapText="1"/>
    </xf>
    <xf numFmtId="0" fontId="4" fillId="0" borderId="3" xfId="0" applyFont="1" applyBorder="1" applyAlignment="1">
      <alignment horizontal="center" textRotation="90"/>
    </xf>
    <xf numFmtId="0" fontId="8" fillId="0" borderId="0" xfId="0" applyFont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top"/>
    </xf>
    <xf numFmtId="0" fontId="9" fillId="0" borderId="0" xfId="0" applyFont="1" applyAlignment="1">
      <alignment horizontal="left" indent="1"/>
    </xf>
    <xf numFmtId="0" fontId="17" fillId="0" borderId="12" xfId="0" quotePrefix="1" applyFont="1" applyBorder="1" applyAlignment="1">
      <alignment horizontal="center" vertical="center"/>
    </xf>
    <xf numFmtId="0" fontId="9" fillId="0" borderId="1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400051</xdr:colOff>
      <xdr:row>1</xdr:row>
      <xdr:rowOff>0</xdr:rowOff>
    </xdr:from>
    <xdr:to>
      <xdr:col>11</xdr:col>
      <xdr:colOff>76202</xdr:colOff>
      <xdr:row>4</xdr:row>
      <xdr:rowOff>152401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1" y="180975"/>
          <a:ext cx="866776" cy="8667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</xdr:row>
      <xdr:rowOff>115680</xdr:rowOff>
    </xdr:from>
    <xdr:to>
      <xdr:col>10</xdr:col>
      <xdr:colOff>257176</xdr:colOff>
      <xdr:row>35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5C2863-038E-7BC8-6B87-06E58C886126}"/>
            </a:ext>
          </a:extLst>
        </xdr:cNvPr>
        <xdr:cNvSpPr txBox="1"/>
      </xdr:nvSpPr>
      <xdr:spPr>
        <a:xfrm>
          <a:off x="142875" y="649080"/>
          <a:ext cx="5844541" cy="88149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รหัสวิชา  อ๑๑๑๐๑  ภาษาอังกฤษ		                     กลุ่มสาระการเรียนรู้ภาษาต่างประเทศ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ชั้นประถมศึกษาปีที่ ๑				  เวลา ๑๒๐ ชั่วโมง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en-US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-----------------------------------------------------------------------------------------------------------------------------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----------------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ศึกษาคำสั่งง่ายๆ  คำขอร้อง  เรื่องสั้นๆ  นิทานง่ายๆ  ที่มีภาพประกอบปฏิบัติตามคำสั่งและ ภาษาง่ายๆ สั้นๆ เพื่อแสดงความสัมพันธ์ระหว่างบุคคล</a:t>
          </a:r>
          <a:r>
            <a:rPr lang="en-US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ความต้องการและความรู้สึกของตน ข้อมูลเกี่ยวกับตนเองและเรื่องใกล้ตัว ความคิดรวบยอดและความคิดเห็นเกี่ยวกับข้อมูล  ข้อเท็จจริง และข้อมูลต่าง ๆ ในกิจวัตรประจำวัน ความแตกต่างระหว่างภาษาอังกฤษและวัฒนธรรมของเจ้าของภาษากับภาษาไทยและวัฒนธรรมไทย  ในเรื่องเสียง สระ  พยัญชนะ</a:t>
          </a:r>
          <a:r>
            <a:rPr lang="en-US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คำ  วลี</a:t>
          </a:r>
          <a:r>
            <a:rPr lang="en-US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ประโยค และข้อความง่ายๆ คำที่เกี่ยวข้องกับกลุ่มสาระการเรียนรู้อื่นๆโดยใช้ทักษะการฟัง, การพูด, การอ่านออกเสียง สระ  กลุ่มคำ และประโยคง่ายๆ ได้ถูกต้อง</a:t>
          </a:r>
          <a:r>
            <a:rPr lang="en-US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ระบุตัวอักษรและเสียงตัวอักษร  นำเสนอและสนทนาด้วยถ้อยคำ สำนวนง่ายๆ ที่ใช้ในการสื่อสารของเจ้าของภาษา  รู้และเข้าใจขนบธรรมเนียม  ประเพณี  เทศกาล  งานฉลอง เห็นประโยชน์ในการเรียนภาษาอังกฤษ  โดยสนใจเข้าร่วมกิจกรรมทางภาษาและวัฒนธรรม และแสวงหาความรู้ ความเพลิดเพลินจากภาษาอังกฤษ 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en-US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 </a:t>
          </a: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ตัวชี้วัดระหว่างทาง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 ๑.๑ 	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ป</a:t>
          </a:r>
          <a:r>
            <a:rPr lang="en-US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.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๑/๑, ป</a:t>
          </a:r>
          <a:r>
            <a:rPr lang="en-US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.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๑/๓ 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 ๑.๒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	ป.๑/๑, ป.๑/๒, ป.๑/๓, ป.๑/๔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 ๒.๑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	ป.๑/๑,</a:t>
          </a:r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ป.๑/๒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 ๒.๒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	ป.๑/๑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 ๓.๑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	ป.๑/๑  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ตัวชี้วัดปลายทาง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 ๑.๑ 	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ป.๑/๒</a:t>
          </a:r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, 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ป.๑/๔ 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 ๑.๓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	ป.๑/๑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 ๒.๑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	ป.๑/๓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 ๔.๑ 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ป.๑/๑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ต ๔.๒</a:t>
          </a:r>
          <a:r>
            <a:rPr lang="th-TH" sz="140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	ป.๑/๑    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en-US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 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รวม  ๑๖  มาตรฐาน  ๑๐ ตัวชี้วัดระหว่างทาง</a:t>
          </a:r>
          <a:r>
            <a:rPr lang="en-US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</a:t>
          </a:r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๖  ตัวชี้วัดระหว่างทาง</a:t>
          </a:r>
          <a:endParaRPr lang="en-US" sz="140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endParaRPr lang="en-US" sz="14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13606</xdr:colOff>
      <xdr:row>3</xdr:row>
      <xdr:rowOff>57149</xdr:rowOff>
    </xdr:from>
    <xdr:to>
      <xdr:col>10</xdr:col>
      <xdr:colOff>174172</xdr:colOff>
      <xdr:row>36</xdr:row>
      <xdr:rowOff>54429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42CA4C-F0EF-0E8B-F60D-363998C5E63B}"/>
            </a:ext>
          </a:extLst>
        </xdr:cNvPr>
        <xdr:cNvSpPr txBox="1"/>
      </xdr:nvSpPr>
      <xdr:spPr>
        <a:xfrm>
          <a:off x="459920" y="895349"/>
          <a:ext cx="5298623" cy="89779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 สาระที่ 1 ภาษาเพื่อการสื่อสาร</a:t>
          </a:r>
        </a:p>
        <a:p>
          <a:endParaRPr lang="th-TH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มาตรฐาน ต 1.1 เข้าใจและตีความเรื่องที่ฟังและอ่านจากสื่อประเภทต่าง ๆ และแสดงความคิดเห็นอย่างมีเหตุผล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1.1 ป.1/1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ตัวชี้วัดระหว่างทาง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ปฏิบัติตามคำสั่งง่าย ๆ ที่ฟัง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คำสั่งที่ใช้ในห้องเรียน เช่น </a:t>
          </a:r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Stand up. / Sit down. / Listen. / Repeat. / Quiet! / Stop!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1.1 ป.1/2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ตัวชี้วัดปลายทาง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ระบุตัวอักษรและเสียง อ่านออกเสียงและสะกดคำง่าย ๆ ถูกต้องตามหลักการอ่าน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ตัวอักษร (</a:t>
          </a:r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letter names) </a:t>
          </a:r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เสียงตัวอักษรและสระ (</a:t>
          </a:r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letter sounds) </a:t>
          </a:r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และการสะกดคำ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หลักการอ่านออกเสียง เช่น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การออกเสียงพยัญชนะต้นคำและพยัญชนะท้ายคำ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การออกเสียงเน้นหนัก-เบา (</a:t>
          </a:r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stress) </a:t>
          </a:r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ในคำและกลุ่มคำ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การออกเสียงตามระดับเสียงสูง-ต่ำ (</a:t>
          </a:r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intonation) </a:t>
          </a:r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ในประโยค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1.1 ป.1/3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ตัวชี้วัดระหว่างทาง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เลือกภาพตรงตามความหมายของคำและกลุ่มคำที่ฟัง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คำ กลุ่มคำ และความหมายเกี่ยวกับตนเอง ครอบครัว โรงเรียน สิ่งแวดล้อมใกล้ตัว อาหาร เครื่องดื่ม และนันทนาการ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ขอบเขตคำศัพท์ประมาณ 150-200 คำ (คำศัพท์ที่เป็นรูปธรรม)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endParaRPr lang="th-TH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1.1 ป.1/4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ตัวชี้วัดปลายทาง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ตอบคำถามจากการฟังเรื่องใกล้ตัว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บทอ่านเกี่ยวกับเรื่องใกล้ตัว หรือนิทานที่มีภาพประกอบ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ประโยคคำถามและคำตอบ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Yes/No Question </a:t>
          </a:r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เช่น </a:t>
          </a:r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Is it a/an..? / Yes, it is. / No, it is not.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Wh-Question </a:t>
          </a:r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เช่น </a:t>
          </a:r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What is it? / It is a/an...</a:t>
          </a:r>
        </a:p>
        <a:p>
          <a:endParaRPr lang="en-US" sz="14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13</xdr:col>
      <xdr:colOff>54429</xdr:colOff>
      <xdr:row>0</xdr:row>
      <xdr:rowOff>219941</xdr:rowOff>
    </xdr:from>
    <xdr:to>
      <xdr:col>21</xdr:col>
      <xdr:colOff>536121</xdr:colOff>
      <xdr:row>35</xdr:row>
      <xdr:rowOff>54430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BCED49-9119-39A7-DB1D-8ABD3194F2F6}"/>
            </a:ext>
          </a:extLst>
        </xdr:cNvPr>
        <xdr:cNvSpPr txBox="1"/>
      </xdr:nvSpPr>
      <xdr:spPr>
        <a:xfrm>
          <a:off x="6858000" y="219941"/>
          <a:ext cx="5445578" cy="93812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มาตรฐาน ต 1.2 มีทักษะการสื่อสารทางภาษาในการแลกเปลี่ยนข้อมูลข่าวสาร แสดงความรู้สึกและความคิดเห็นอย่างมีประสิทธิภาพ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1.2 ป.1/1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ตัวชี้วัดระหว่างทาง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พูดโต้ตอบด้วยคำสั้น ๆ ง่าย ๆ ในการสื่อสารระหว่างบุคคลตามแบบที่ฟัง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บทสนทนาที่ใช้ในการทักทาย กล่าวลา ขอบคุณ ขอโทษ และประโยค/ข้อความที่ใช้แนะนำตนเอง เช่น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Hi / Hello / Good morning / Good afternoon / Good evening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I am… / Goodbye. / Bye. / Thank you. / I am sorry.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1.2 ป.1/2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ตัวชี้วัดปลายทาง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ใช้คำสั่งง่าย ๆ ตามแบบที่ฟัง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คำสั่งที่ใช้ในห้องเรียน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1.2 ป.1/3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ตัวชี้วัดระหว่างทาง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บอกความต้องการง่าย ๆ ของตนเองตามแบบที่ฟัง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คำศัพท์ สำนวน และประโยคที่ใช้บอกความต้องการ เช่น </a:t>
          </a:r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I want… / Please,…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1.2 ป.1/4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ตัวชี้วัดปลายทาง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พูดขอและให้ข้อมูลง่าย ๆ เกี่ยวกับตนเองตามแบบที่ฟัง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คำศัพท์ สำนวน และประโยคที่ใช้ขอและให้ข้อมูลเกี่ยวกับตนเอง เช่น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What's your name? / My name is… / I am…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How are you? / I am fine.</a:t>
          </a:r>
        </a:p>
        <a:p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22</xdr:col>
      <xdr:colOff>263978</xdr:colOff>
      <xdr:row>0</xdr:row>
      <xdr:rowOff>206828</xdr:rowOff>
    </xdr:from>
    <xdr:to>
      <xdr:col>31</xdr:col>
      <xdr:colOff>318407</xdr:colOff>
      <xdr:row>35</xdr:row>
      <xdr:rowOff>97973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1446A2A-1AA2-9363-BC16-0960D39F9A6E}"/>
            </a:ext>
          </a:extLst>
        </xdr:cNvPr>
        <xdr:cNvSpPr txBox="1"/>
      </xdr:nvSpPr>
      <xdr:spPr>
        <a:xfrm>
          <a:off x="12651921" y="206828"/>
          <a:ext cx="5638800" cy="94379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มาตรฐาน ต 1.3 นำเสนอข้อมูลข่าวสาร ความคิดรวบยอด และความคิดเห็นในเรื่องต่าง ๆ โดยการพูดและการเขียน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1.3 ป.1/1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ตัวชี้วัดปลายทาง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พูดให้ข้อมูลเกี่ยวกับตนเองและเรื่องใกล้ตัว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คำและประโยคที่ใช้ในการพูดให้ข้อมูลเกี่ยวกับตนเอง บุคคลใกล้ตัว และเรื่องใกล้ตัว เช่น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บอกชื่อ อายุ รูปร่าง ส่วนสูง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เรียกสิ่งต่าง ๆ จำนวน 1-20 สี ขนาด สถานที่อยู่ของสิ่งของ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สาระที่ 2 ภาษาและวัฒนธรรม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มาตรฐาน ต 2.1 เข้าใจความสัมพันธ์ระหว่างภาษากับวัฒนธรรมของเจ้าของภาษา และนำไปใช้ได้อย่างเหมาะสมกับกาลเทศะ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2.1 ป.1/1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ตัวชี้วัดระหว่างทาง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พูดและทำท่าประกอบตามวัฒนธรรมของเจ้าของภาษา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วัฒนธรรมของเจ้าของภาษา เช่น การใช้สีหน้าท่าทางประกอบการพูดขณะแนะนำตนเอง การสัมผัสมือ การโบกมือ การแสดงอาการตอบรับหรือปฏิเสธ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2.1 ป.1/2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ตัวชี้วัดระหว่างทาง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บอกชื่อและคำศัพท์เกี่ยวกับเทศกาลสำคัญของเจ้าของภาษา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คำศัพท์เกี่ยวกับเทศกาลสำคัญของเจ้าของภาษา เช่น วันคริสต์มาส วันขึ้นปีใหม่ วันวาเลนไทน์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2.1 ป.1/3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ตัวชี้วัดปลายทาง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เข้าร่วมกิจกรรมทางภาษาและวัฒนธรรมที่เหมาะกับวัย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กิจกรรมทางภาษาและวัฒนธรรม เช่น การเล่นเกม การร้องเพลง การเล่านิทานประกอบท่าทาง วันคริสต์มาส วันขึ้นปีใหม่ วันวาเลนไทน์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มาตรฐาน ต 2.2 เข้าใจความเหมือนและความแตกต่างระหว่างภาษาและวัฒนธรรมของเจ้าของภาษากับภาษาและวัฒนธรรมไทย และนำมาใช้อย่างถูกต้องและเหมาะสม</a:t>
          </a:r>
          <a:endParaRPr lang="en-US" sz="1400" b="0" i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</a:p>
        <a:p>
          <a:endParaRPr lang="en-US" sz="14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32</xdr:col>
      <xdr:colOff>261938</xdr:colOff>
      <xdr:row>1</xdr:row>
      <xdr:rowOff>27215</xdr:rowOff>
    </xdr:from>
    <xdr:to>
      <xdr:col>41</xdr:col>
      <xdr:colOff>285749</xdr:colOff>
      <xdr:row>35</xdr:row>
      <xdr:rowOff>201386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0DCAF38-3867-A619-825D-FAFE5E644FCC}"/>
            </a:ext>
          </a:extLst>
        </xdr:cNvPr>
        <xdr:cNvSpPr txBox="1"/>
      </xdr:nvSpPr>
      <xdr:spPr>
        <a:xfrm>
          <a:off x="18854738" y="299358"/>
          <a:ext cx="5608182" cy="94487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2.2 ป.1/1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ตัวชี้วัดระหว่างทาง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ระบุตัวอักษรและเสียงตัวอักษรของภาษาต่างประเทศและภาษาไทย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ตัวอักษรและเสียงตัวอักษรของภาษาต่างประเทศและภาษาไทย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สาระที่ 3 ภาษากับความสัมพันธ์กับกลุ่มสาระการเรียนรู้อื่น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มาตรฐาน ต 3.1 ใช้ภาษาต่างประเทศในการเชื่อมโยงความรู้กับกลุ่มสาระการเรียนรู้อื่น และเป็นพื้นฐานในการพัฒนา แสวงหาความรู้ และเปิดโลกทัศน์ของตน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3.1 ป.1/1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ตัวชี้วัดระหว่างทาง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บอกคำศัพท์ที่เกี่ยวข้องกับกลุ่มสาระการเรียนรู้อื่น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คำศัพท์ที่เกี่ยวข้องกับกลุ่มสาระการเรียนรู้อื่น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สาระที่ 4 ภาษากับความสัมพันธ์กับชุมชนและโลก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มาตรฐาน ต 4.1 ใช้ภาษาต่างประเทศในสถานการณ์ต่าง ๆ ทั้งในสถานศึกษา ชุมชน และสังคม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4.1 ป.1/1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ตัวชี้วัดปลายทาง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ฟัง/พูดในสถานการณ์ง่าย ๆ ที่เกิดขึ้นในห้องเรียน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การใช้ภาษาในการฟัง/พูดในสถานการณ์ง่าย ๆ ที่เกิดขึ้นในห้องเรียน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มาตรฐาน ต 4.2 ใช้ภาษาต่างประเทศเป็นเครื่องมือพื้นฐานในการศึกษาต่อ การประกอบอาชีพ และการแลกเปลี่ยนเรียนรู้กับสังคมโลก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 4.2 ป.1/1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ตัวชี้วัดปลายทาง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ใช้ภาษาต่างประเทศเพื่อรวบรวมคำศัพท์ที่เกี่ยวข้องใกล้ตัว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 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สาระการเรียนรู้แกนกลาง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400" b="0" i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การใช้ภาษาต่างประเทศในการรวบรวมคำศัพท์ที่เกี่ยวข้องใกล้ตัวจากสื่อต่าง ๆ</a:t>
          </a:r>
          <a:endParaRPr lang="en-US" sz="1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4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506941</xdr:colOff>
      <xdr:row>17</xdr:row>
      <xdr:rowOff>202143</xdr:rowOff>
    </xdr:from>
    <xdr:to>
      <xdr:col>5</xdr:col>
      <xdr:colOff>116416</xdr:colOff>
      <xdr:row>27</xdr:row>
      <xdr:rowOff>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2BDBE296-3C04-4552-AE78-A3F27C938C29}"/>
            </a:ext>
          </a:extLst>
        </xdr:cNvPr>
        <xdr:cNvSpPr txBox="1"/>
      </xdr:nvSpPr>
      <xdr:spPr>
        <a:xfrm>
          <a:off x="1808691" y="6430435"/>
          <a:ext cx="2080683" cy="20711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th-TH" sz="1400" b="1" i="0" u="none" strike="noStrike">
              <a:solidFill>
                <a:schemeClr val="dk1"/>
              </a:solidFill>
              <a:latin typeface="TH SarabunPSK" pitchFamily="34" charset="-34"/>
              <a:ea typeface="+mn-ea"/>
              <a:cs typeface="TH SarabunPSK" pitchFamily="34" charset="-34"/>
            </a:rPr>
            <a:t>คิดวิเคราะห์</a:t>
          </a:r>
          <a:r>
            <a:rPr lang="th-TH" sz="1400" b="1">
              <a:latin typeface="TH SarabunPSK" pitchFamily="34" charset="-34"/>
              <a:cs typeface="TH SarabunPSK" pitchFamily="34" charset="-34"/>
            </a:rPr>
            <a:t> </a:t>
          </a:r>
          <a:endParaRPr lang="en-US" sz="1400" b="1">
            <a:latin typeface="TH SarabunPSK" pitchFamily="34" charset="-34"/>
            <a:cs typeface="TH SarabunPSK" pitchFamily="34" charset="-34"/>
          </a:endParaRPr>
        </a:p>
        <a:p>
          <a:r>
            <a:rPr lang="th-TH" sz="14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ea typeface="+mn-ea"/>
              <a:cs typeface="TH SarabunPSK" pitchFamily="34" charset="-34"/>
            </a:rPr>
            <a:t>1. คิดอย่างมีระบบ และสรุป</a:t>
          </a:r>
          <a:endParaRPr lang="en-US" sz="1400" b="0" i="0" u="none" strike="noStrike">
            <a:solidFill>
              <a:schemeClr val="tx1">
                <a:lumMod val="75000"/>
                <a:lumOff val="25000"/>
              </a:schemeClr>
            </a:solidFill>
            <a:latin typeface="TH SarabunPSK" pitchFamily="34" charset="-34"/>
            <a:ea typeface="+mn-ea"/>
            <a:cs typeface="TH SarabunPSK" pitchFamily="34" charset="-34"/>
          </a:endParaRPr>
        </a:p>
        <a:p>
          <a:r>
            <a:rPr lang="en-US" sz="14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ea typeface="+mn-ea"/>
              <a:cs typeface="TH SarabunPSK" pitchFamily="34" charset="-34"/>
            </a:rPr>
            <a:t>   </a:t>
          </a:r>
          <a:r>
            <a:rPr lang="th-TH" sz="14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ea typeface="+mn-ea"/>
              <a:cs typeface="TH SarabunPSK" pitchFamily="34" charset="-34"/>
            </a:rPr>
            <a:t>ประเด็นได้</a:t>
          </a:r>
          <a:r>
            <a:rPr lang="th-TH" sz="1400" b="0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cs typeface="TH SarabunPSK" pitchFamily="34" charset="-34"/>
            </a:rPr>
            <a:t> </a:t>
          </a:r>
          <a:endParaRPr lang="en-US" sz="1400" b="0">
            <a:solidFill>
              <a:schemeClr val="tx1">
                <a:lumMod val="75000"/>
                <a:lumOff val="25000"/>
              </a:schemeClr>
            </a:solidFill>
            <a:latin typeface="TH SarabunPSK" pitchFamily="34" charset="-34"/>
            <a:cs typeface="TH SarabunPSK" pitchFamily="34" charset="-34"/>
          </a:endParaRPr>
        </a:p>
        <a:p>
          <a:r>
            <a:rPr lang="th-TH" sz="14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ea typeface="+mn-ea"/>
              <a:cs typeface="TH SarabunPSK" pitchFamily="34" charset="-34"/>
            </a:rPr>
            <a:t>2. แสดงความคิดเห็น</a:t>
          </a:r>
          <a:endParaRPr lang="en-US" sz="1400" b="0" i="0" u="none" strike="noStrike">
            <a:solidFill>
              <a:schemeClr val="tx1">
                <a:lumMod val="75000"/>
                <a:lumOff val="25000"/>
              </a:schemeClr>
            </a:solidFill>
            <a:latin typeface="TH SarabunPSK" pitchFamily="34" charset="-34"/>
            <a:ea typeface="+mn-ea"/>
            <a:cs typeface="TH SarabunPSK" pitchFamily="34" charset="-34"/>
          </a:endParaRPr>
        </a:p>
        <a:p>
          <a:r>
            <a:rPr lang="en-US" sz="14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ea typeface="+mn-ea"/>
              <a:cs typeface="TH SarabunPSK" pitchFamily="34" charset="-34"/>
            </a:rPr>
            <a:t>   </a:t>
          </a:r>
          <a:r>
            <a:rPr lang="th-TH" sz="14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ea typeface="+mn-ea"/>
              <a:cs typeface="TH SarabunPSK" pitchFamily="34" charset="-34"/>
            </a:rPr>
            <a:t>อย่างมีเหตุผล</a:t>
          </a:r>
          <a:r>
            <a:rPr lang="th-TH" sz="1400" b="0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cs typeface="TH SarabunPSK" pitchFamily="34" charset="-34"/>
            </a:rPr>
            <a:t> </a:t>
          </a:r>
          <a:endParaRPr lang="en-US" sz="1400" b="0">
            <a:solidFill>
              <a:schemeClr val="tx1">
                <a:lumMod val="75000"/>
                <a:lumOff val="25000"/>
              </a:schemeClr>
            </a:solidFill>
            <a:latin typeface="TH SarabunPSK" pitchFamily="34" charset="-34"/>
            <a:cs typeface="TH SarabunPSK" pitchFamily="34" charset="-34"/>
          </a:endParaRPr>
        </a:p>
        <a:p>
          <a:r>
            <a:rPr lang="th-TH" sz="14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ea typeface="+mn-ea"/>
              <a:cs typeface="TH SarabunPSK" pitchFamily="34" charset="-34"/>
            </a:rPr>
            <a:t>3. สรุปข้อคิด และกระบวนการ  </a:t>
          </a:r>
        </a:p>
        <a:p>
          <a:r>
            <a:rPr lang="en-US" sz="14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ea typeface="+mn-ea"/>
              <a:cs typeface="TH SarabunPSK" pitchFamily="34" charset="-34"/>
            </a:rPr>
            <a:t>   </a:t>
          </a:r>
          <a:r>
            <a:rPr lang="th-TH" sz="14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ea typeface="+mn-ea"/>
              <a:cs typeface="TH SarabunPSK" pitchFamily="34" charset="-34"/>
            </a:rPr>
            <a:t>แก้ปัญหา</a:t>
          </a:r>
          <a:r>
            <a:rPr lang="th-TH" sz="1400" b="0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cs typeface="TH SarabunPSK" pitchFamily="34" charset="-34"/>
            </a:rPr>
            <a:t> </a:t>
          </a:r>
          <a:endParaRPr lang="en-US" sz="1400" b="0">
            <a:solidFill>
              <a:schemeClr val="tx1">
                <a:lumMod val="75000"/>
                <a:lumOff val="25000"/>
              </a:schemeClr>
            </a:solidFill>
            <a:latin typeface="TH SarabunPSK" pitchFamily="34" charset="-34"/>
            <a:cs typeface="TH SarabunPSK" pitchFamily="34" charset="-34"/>
          </a:endParaRPr>
        </a:p>
        <a:p>
          <a:pPr algn="l"/>
          <a:r>
            <a:rPr lang="th-TH" sz="14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ea typeface="+mn-ea"/>
              <a:cs typeface="TH SarabunPSK" pitchFamily="34" charset="-34"/>
            </a:rPr>
            <a:t>4. วินิจฉัยตัดสินใจด้วยตนเอง</a:t>
          </a:r>
          <a:r>
            <a:rPr lang="th-TH" sz="1400" b="0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cs typeface="TH SarabunPSK" pitchFamily="34" charset="-34"/>
            </a:rPr>
            <a:t> </a:t>
          </a:r>
          <a:r>
            <a:rPr lang="en-US" sz="1400" b="0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cs typeface="TH SarabunPSK" pitchFamily="34" charset="-34"/>
            </a:rPr>
            <a:t>   </a:t>
          </a:r>
        </a:p>
        <a:p>
          <a:pPr algn="l"/>
          <a:r>
            <a:rPr lang="en-US" sz="1400" b="0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cs typeface="TH SarabunPSK" pitchFamily="34" charset="-34"/>
            </a:rPr>
            <a:t>   </a:t>
          </a:r>
          <a:r>
            <a:rPr lang="th-TH" sz="1400" b="0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cs typeface="TH SarabunPSK" pitchFamily="34" charset="-34"/>
            </a:rPr>
            <a:t>ในสิ่งที่ดี</a:t>
          </a:r>
          <a:r>
            <a:rPr lang="th-TH" sz="1400" b="0" baseline="0">
              <a:solidFill>
                <a:schemeClr val="tx1">
                  <a:lumMod val="75000"/>
                  <a:lumOff val="25000"/>
                </a:schemeClr>
              </a:solidFill>
              <a:latin typeface="TH SarabunPSK" pitchFamily="34" charset="-34"/>
              <a:cs typeface="TH SarabunPSK" pitchFamily="34" charset="-34"/>
            </a:rPr>
            <a:t>และถูกต้อง</a:t>
          </a:r>
        </a:p>
        <a:p>
          <a:endParaRPr lang="th-TH" sz="1400">
            <a:latin typeface="TH SarabunPSK" pitchFamily="34" charset="-34"/>
            <a:cs typeface="TH SarabunPSK" pitchFamily="34" charset="-34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611;&#3614;.5\&#3611;&#3637;&#3585;&#3634;&#3619;&#3624;&#3638;&#3585;&#3625;&#3634;%202559\Users\acer\Desktop\pp5p-2554v3.11.06p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_&#3591;&#3634;&#3609;&#3623;&#3636;&#3594;&#3634;&#3585;&#3634;&#3619;&#3650;&#3614;&#3609;&#3649;&#3607;&#3656;&#3609;\02_&#3591;&#3634;&#3609;&#3607;&#3632;&#3648;&#3610;&#3637;&#3618;&#3609;\&#3611;&#3619;&#3632;&#3585;&#3634;&#3624;&#3609;&#3637;&#3618;&#3610;&#3633;&#3605;&#3619;%20&#3629;&#3609;&#3640;&#3610;&#3634;&#3621;\&#3629;&#3609;&#3640;&#3610;&#3634;&#3621;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  <sheetName val="list  "/>
    </sheetNames>
    <sheetDataSet>
      <sheetData sheetId="0"/>
      <sheetData sheetId="1"/>
      <sheetData sheetId="2">
        <row r="5">
          <cell r="J5">
            <v>0</v>
          </cell>
          <cell r="K5" t="str">
            <v>-</v>
          </cell>
          <cell r="L5">
            <v>49</v>
          </cell>
          <cell r="M5" t="str">
            <v>ไม่ผ่าน</v>
          </cell>
          <cell r="N5">
            <v>0</v>
          </cell>
        </row>
        <row r="6">
          <cell r="J6">
            <v>50</v>
          </cell>
          <cell r="K6" t="str">
            <v>-</v>
          </cell>
          <cell r="L6">
            <v>64</v>
          </cell>
          <cell r="M6" t="str">
            <v>ผ่าน</v>
          </cell>
          <cell r="N6">
            <v>1</v>
          </cell>
        </row>
        <row r="7">
          <cell r="J7">
            <v>65</v>
          </cell>
          <cell r="K7" t="str">
            <v>-</v>
          </cell>
          <cell r="L7">
            <v>79</v>
          </cell>
          <cell r="M7" t="str">
            <v>ดี</v>
          </cell>
          <cell r="N7">
            <v>2</v>
          </cell>
        </row>
        <row r="8">
          <cell r="C8">
            <v>0</v>
          </cell>
          <cell r="D8" t="str">
            <v>ช่วงคะแนนเป็นร้อยละ</v>
          </cell>
          <cell r="E8">
            <v>0</v>
          </cell>
          <cell r="F8" t="str">
            <v>ความหมาย</v>
          </cell>
          <cell r="G8" t="str">
            <v>ระดับผลการเรียน</v>
          </cell>
          <cell r="J8">
            <v>80</v>
          </cell>
          <cell r="K8" t="str">
            <v>-</v>
          </cell>
          <cell r="L8">
            <v>100</v>
          </cell>
          <cell r="M8" t="str">
            <v>ดีเยี่ยม</v>
          </cell>
          <cell r="N8">
            <v>3</v>
          </cell>
        </row>
        <row r="9">
          <cell r="C9">
            <v>0</v>
          </cell>
          <cell r="D9" t="str">
            <v>-</v>
          </cell>
          <cell r="E9">
            <v>49</v>
          </cell>
          <cell r="F9" t="str">
            <v>ต่ำกว่าเกณฑ์</v>
          </cell>
          <cell r="G9" t="str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C10">
            <v>50</v>
          </cell>
          <cell r="D10" t="str">
            <v>-</v>
          </cell>
          <cell r="E10">
            <v>54</v>
          </cell>
          <cell r="F10" t="str">
            <v>ผ่านเกณฑ์ขั้นต่ำ</v>
          </cell>
          <cell r="G10" t="str">
            <v>1</v>
          </cell>
        </row>
        <row r="11">
          <cell r="C11">
            <v>55</v>
          </cell>
          <cell r="D11" t="str">
            <v>-</v>
          </cell>
          <cell r="E11">
            <v>59</v>
          </cell>
          <cell r="F11" t="str">
            <v>พอใช้</v>
          </cell>
          <cell r="G11" t="str">
            <v>1.5</v>
          </cell>
        </row>
        <row r="12">
          <cell r="C12">
            <v>60</v>
          </cell>
          <cell r="D12" t="str">
            <v>-</v>
          </cell>
          <cell r="E12">
            <v>64</v>
          </cell>
          <cell r="F12" t="str">
            <v>ปานกลาง</v>
          </cell>
          <cell r="G12" t="str">
            <v>2</v>
          </cell>
          <cell r="J12">
            <v>0</v>
          </cell>
          <cell r="K12" t="str">
            <v>-</v>
          </cell>
          <cell r="L12">
            <v>49</v>
          </cell>
          <cell r="M12" t="str">
            <v>ไม่ผ่าน</v>
          </cell>
          <cell r="N12">
            <v>0</v>
          </cell>
        </row>
        <row r="13">
          <cell r="C13">
            <v>65</v>
          </cell>
          <cell r="D13" t="str">
            <v>-</v>
          </cell>
          <cell r="E13">
            <v>69</v>
          </cell>
          <cell r="F13" t="str">
            <v>ค่อนข้างดี</v>
          </cell>
          <cell r="G13" t="str">
            <v>2.5</v>
          </cell>
          <cell r="J13">
            <v>50</v>
          </cell>
          <cell r="K13" t="str">
            <v>-</v>
          </cell>
          <cell r="L13">
            <v>64</v>
          </cell>
          <cell r="M13" t="str">
            <v>ผ่าน</v>
          </cell>
          <cell r="N13">
            <v>1</v>
          </cell>
        </row>
        <row r="14">
          <cell r="C14">
            <v>70</v>
          </cell>
          <cell r="D14" t="str">
            <v>-</v>
          </cell>
          <cell r="E14">
            <v>74</v>
          </cell>
          <cell r="F14" t="str">
            <v>ดี</v>
          </cell>
          <cell r="G14" t="str">
            <v>3</v>
          </cell>
          <cell r="J14">
            <v>65</v>
          </cell>
          <cell r="K14" t="str">
            <v>-</v>
          </cell>
          <cell r="L14">
            <v>79</v>
          </cell>
          <cell r="M14" t="str">
            <v>ดี</v>
          </cell>
          <cell r="N14">
            <v>2</v>
          </cell>
        </row>
        <row r="15">
          <cell r="C15">
            <v>75</v>
          </cell>
          <cell r="D15" t="str">
            <v>-</v>
          </cell>
          <cell r="E15">
            <v>79</v>
          </cell>
          <cell r="F15" t="str">
            <v>ดีมาก</v>
          </cell>
          <cell r="G15" t="str">
            <v>3.5</v>
          </cell>
          <cell r="J15">
            <v>80</v>
          </cell>
          <cell r="K15" t="str">
            <v>-</v>
          </cell>
          <cell r="L15">
            <v>100</v>
          </cell>
          <cell r="M15" t="str">
            <v>ดีเยี่ยม</v>
          </cell>
          <cell r="N15">
            <v>3</v>
          </cell>
        </row>
        <row r="16">
          <cell r="C16">
            <v>80</v>
          </cell>
          <cell r="D16" t="str">
            <v>-</v>
          </cell>
          <cell r="E16">
            <v>100</v>
          </cell>
          <cell r="F16" t="str">
            <v>ดีเยี่ยม</v>
          </cell>
          <cell r="G16" t="str">
            <v>4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V45"/>
  <sheetViews>
    <sheetView view="pageBreakPreview" topLeftCell="A14" zoomScaleNormal="100" zoomScaleSheetLayoutView="100" workbookViewId="0">
      <selection activeCell="K6" sqref="K6"/>
    </sheetView>
  </sheetViews>
  <sheetFormatPr defaultColWidth="5.7109375" defaultRowHeight="21"/>
  <cols>
    <col min="1" max="1" width="2.42578125" style="2" customWidth="1"/>
    <col min="2" max="2" width="2.28515625" style="2" customWidth="1"/>
    <col min="3" max="3" width="5.42578125" style="2" customWidth="1"/>
    <col min="4" max="4" width="5.85546875" style="2" customWidth="1"/>
    <col min="5" max="5" width="6" style="2" customWidth="1"/>
    <col min="6" max="7" width="5.7109375" style="2" customWidth="1"/>
    <col min="8" max="8" width="5.140625" style="2" customWidth="1"/>
    <col min="9" max="9" width="6.140625" style="2" customWidth="1"/>
    <col min="10" max="10" width="6.42578125" style="2" customWidth="1"/>
    <col min="11" max="11" width="5.28515625" style="2" customWidth="1"/>
    <col min="12" max="12" width="8.7109375" style="2" customWidth="1"/>
    <col min="13" max="13" width="7.140625" style="2" bestFit="1" customWidth="1"/>
    <col min="14" max="14" width="4.5703125" style="2" customWidth="1"/>
    <col min="15" max="15" width="5.28515625" style="2" customWidth="1"/>
    <col min="16" max="16" width="5" style="2" customWidth="1"/>
    <col min="17" max="17" width="6.5703125" style="2" customWidth="1"/>
    <col min="18" max="18" width="5" style="2" customWidth="1"/>
    <col min="19" max="19" width="4.5703125" style="2" customWidth="1"/>
    <col min="20" max="16384" width="5.7109375" style="2"/>
  </cols>
  <sheetData>
    <row r="1" spans="1:22" ht="14.25" customHeight="1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spans="1:22" ht="18.95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0"/>
      <c r="U2" s="70"/>
      <c r="V2" s="70"/>
    </row>
    <row r="3" spans="1:22" ht="18.95" customHeight="1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0"/>
      <c r="U3" s="70"/>
      <c r="V3" s="70"/>
    </row>
    <row r="4" spans="1:22" ht="18.95" customHeight="1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0"/>
      <c r="U4" s="70"/>
      <c r="V4" s="70"/>
    </row>
    <row r="5" spans="1:22" ht="15" customHeight="1">
      <c r="A5" s="70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0"/>
      <c r="U5" s="70"/>
      <c r="V5" s="70"/>
    </row>
    <row r="6" spans="1:22" ht="21.95" customHeight="1">
      <c r="A6" s="70"/>
      <c r="B6" s="71"/>
      <c r="C6" s="71"/>
      <c r="D6" s="72" t="s">
        <v>0</v>
      </c>
      <c r="E6" s="73"/>
      <c r="F6" s="73"/>
      <c r="G6" s="73"/>
      <c r="H6" s="73"/>
      <c r="I6" s="73"/>
      <c r="J6" s="73"/>
      <c r="K6" s="157"/>
      <c r="L6" s="157"/>
      <c r="M6" s="157"/>
      <c r="N6" s="157"/>
      <c r="O6" s="157"/>
      <c r="P6" s="157"/>
      <c r="Q6" s="74"/>
      <c r="R6" s="159"/>
      <c r="S6" s="71"/>
      <c r="T6" s="70"/>
      <c r="U6" s="70"/>
      <c r="V6" s="70"/>
    </row>
    <row r="7" spans="1:22" ht="21.95" customHeight="1">
      <c r="A7" s="70"/>
      <c r="B7" s="71"/>
      <c r="C7" s="71"/>
      <c r="D7" s="172" t="s">
        <v>1</v>
      </c>
      <c r="E7" s="172"/>
      <c r="F7" s="173" t="s">
        <v>2</v>
      </c>
      <c r="G7" s="173"/>
      <c r="H7" s="173"/>
      <c r="I7" s="172" t="s">
        <v>3</v>
      </c>
      <c r="J7" s="172"/>
      <c r="K7" s="174" t="s">
        <v>4</v>
      </c>
      <c r="L7" s="174"/>
      <c r="M7" s="172" t="s">
        <v>5</v>
      </c>
      <c r="N7" s="172"/>
      <c r="O7" s="172" t="s">
        <v>6</v>
      </c>
      <c r="P7" s="172"/>
      <c r="Q7" s="71"/>
      <c r="R7" s="71"/>
      <c r="S7" s="71"/>
      <c r="T7" s="70"/>
      <c r="U7" s="70"/>
      <c r="V7" s="70"/>
    </row>
    <row r="8" spans="1:22" ht="27" customHeight="1">
      <c r="A8" s="70"/>
      <c r="B8" s="71"/>
      <c r="C8" s="71"/>
      <c r="D8" s="71"/>
      <c r="E8" s="173"/>
      <c r="F8" s="173"/>
      <c r="G8" s="173"/>
      <c r="H8" s="173"/>
      <c r="I8" s="174"/>
      <c r="J8" s="174"/>
      <c r="K8" s="175" t="s">
        <v>7</v>
      </c>
      <c r="L8" s="175"/>
      <c r="M8" s="175"/>
      <c r="N8" s="176">
        <v>2568</v>
      </c>
      <c r="O8" s="176"/>
      <c r="P8" s="71"/>
      <c r="Q8" s="71"/>
      <c r="R8" s="71"/>
      <c r="S8" s="71"/>
      <c r="T8" s="70"/>
      <c r="U8" s="70"/>
      <c r="V8" s="70"/>
    </row>
    <row r="9" spans="1:22" ht="18.75" customHeight="1">
      <c r="A9" s="70"/>
      <c r="B9" s="71"/>
      <c r="C9" s="177" t="s">
        <v>8</v>
      </c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71"/>
      <c r="R9" s="71"/>
      <c r="S9" s="71"/>
      <c r="T9" s="70"/>
      <c r="U9" s="70"/>
      <c r="V9" s="70"/>
    </row>
    <row r="10" spans="1:22" ht="18.95" customHeight="1">
      <c r="A10" s="70"/>
      <c r="B10" s="170" t="s">
        <v>9</v>
      </c>
      <c r="C10" s="170"/>
      <c r="D10" s="170"/>
      <c r="E10" s="170"/>
      <c r="F10" s="170"/>
      <c r="G10" s="170"/>
      <c r="H10" s="170"/>
      <c r="I10" s="170"/>
      <c r="J10" s="170" t="s">
        <v>10</v>
      </c>
      <c r="K10" s="170"/>
      <c r="L10" s="75" t="s">
        <v>11</v>
      </c>
      <c r="M10" s="170" t="s">
        <v>12</v>
      </c>
      <c r="N10" s="170"/>
      <c r="O10" s="161">
        <v>160</v>
      </c>
      <c r="P10" s="171" t="s">
        <v>13</v>
      </c>
      <c r="Q10" s="171"/>
      <c r="R10" s="171"/>
      <c r="S10" s="71"/>
      <c r="T10" s="70"/>
      <c r="U10" s="70"/>
      <c r="V10" s="70"/>
    </row>
    <row r="11" spans="1:22" ht="13.5" customHeight="1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0"/>
      <c r="U11" s="70"/>
      <c r="V11" s="70"/>
    </row>
    <row r="12" spans="1:22" ht="19.5" customHeight="1">
      <c r="A12" s="70"/>
      <c r="B12" s="71"/>
      <c r="C12" s="71"/>
      <c r="D12" s="177" t="s">
        <v>14</v>
      </c>
      <c r="E12" s="177"/>
      <c r="F12" s="177"/>
      <c r="G12" s="177"/>
      <c r="H12" s="177"/>
      <c r="I12" s="177"/>
      <c r="J12" s="177"/>
      <c r="K12" s="71"/>
      <c r="L12" s="71"/>
      <c r="M12" s="71"/>
      <c r="N12" s="71"/>
      <c r="O12" s="71"/>
      <c r="P12" s="71"/>
      <c r="Q12" s="71"/>
      <c r="R12" s="71"/>
      <c r="S12" s="71"/>
      <c r="T12" s="70"/>
      <c r="U12" s="70"/>
      <c r="V12" s="70"/>
    </row>
    <row r="13" spans="1:22" ht="24" customHeight="1">
      <c r="A13" s="70"/>
      <c r="B13" s="71"/>
      <c r="C13" s="71"/>
      <c r="D13" s="181" t="s">
        <v>15</v>
      </c>
      <c r="E13" s="181"/>
      <c r="F13" s="181" t="s">
        <v>16</v>
      </c>
      <c r="G13" s="181"/>
      <c r="H13" s="181"/>
      <c r="I13" s="181"/>
      <c r="J13" s="181"/>
      <c r="K13" s="181"/>
      <c r="L13" s="181"/>
      <c r="M13" s="181"/>
      <c r="N13" s="71"/>
      <c r="O13" s="71"/>
      <c r="P13" s="71"/>
      <c r="Q13" s="71"/>
      <c r="R13" s="71"/>
      <c r="S13" s="71"/>
      <c r="T13" s="70"/>
      <c r="U13" s="70"/>
      <c r="V13" s="70"/>
    </row>
    <row r="14" spans="1:22" ht="21" customHeight="1">
      <c r="A14" s="70"/>
      <c r="B14" s="71"/>
      <c r="C14" s="182" t="s">
        <v>17</v>
      </c>
      <c r="D14" s="182"/>
      <c r="E14" s="182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0"/>
      <c r="U14" s="70"/>
      <c r="V14" s="70"/>
    </row>
    <row r="15" spans="1:22" ht="18.95" customHeight="1">
      <c r="A15" s="70"/>
      <c r="B15" s="71"/>
      <c r="C15" s="183" t="s">
        <v>18</v>
      </c>
      <c r="D15" s="184"/>
      <c r="E15" s="187" t="s">
        <v>19</v>
      </c>
      <c r="F15" s="187"/>
      <c r="G15" s="187"/>
      <c r="H15" s="187"/>
      <c r="I15" s="187"/>
      <c r="J15" s="187"/>
      <c r="K15" s="187"/>
      <c r="L15" s="187"/>
      <c r="M15" s="188" t="s">
        <v>20</v>
      </c>
      <c r="N15" s="188"/>
      <c r="O15" s="188"/>
      <c r="P15" s="189" t="s">
        <v>21</v>
      </c>
      <c r="Q15" s="190"/>
      <c r="R15" s="71"/>
      <c r="S15" s="71"/>
      <c r="T15" s="70"/>
      <c r="U15" s="70"/>
      <c r="V15" s="70"/>
    </row>
    <row r="16" spans="1:22" ht="18.95" customHeight="1">
      <c r="A16" s="70"/>
      <c r="B16" s="71"/>
      <c r="C16" s="185"/>
      <c r="D16" s="186"/>
      <c r="E16" s="160">
        <v>4</v>
      </c>
      <c r="F16" s="160">
        <v>3.5</v>
      </c>
      <c r="G16" s="160">
        <v>3</v>
      </c>
      <c r="H16" s="160">
        <v>2.5</v>
      </c>
      <c r="I16" s="160">
        <v>2</v>
      </c>
      <c r="J16" s="160">
        <v>1.5</v>
      </c>
      <c r="K16" s="160">
        <v>1</v>
      </c>
      <c r="L16" s="160">
        <v>0</v>
      </c>
      <c r="M16" s="160" t="s">
        <v>22</v>
      </c>
      <c r="N16" s="189" t="s">
        <v>23</v>
      </c>
      <c r="O16" s="190"/>
      <c r="P16" s="160" t="s">
        <v>24</v>
      </c>
      <c r="Q16" s="160" t="s">
        <v>25</v>
      </c>
      <c r="R16" s="71"/>
      <c r="S16" s="71"/>
      <c r="T16" s="70"/>
      <c r="U16" s="70"/>
      <c r="V16" s="70"/>
    </row>
    <row r="17" spans="1:22" ht="18.95" customHeight="1">
      <c r="A17" s="70"/>
      <c r="B17" s="71"/>
      <c r="C17" s="178">
        <v>13</v>
      </c>
      <c r="D17" s="178"/>
      <c r="E17" s="76">
        <f>COUNTIF(คะแนน2!$U$5:$U$16, E16)</f>
        <v>6</v>
      </c>
      <c r="F17" s="76">
        <f>COUNTIF(คะแนน2!$U$5:$U$16, F16)</f>
        <v>2</v>
      </c>
      <c r="G17" s="76">
        <f>COUNTIF(คะแนน2!$U$5:$U$16, G16)</f>
        <v>4</v>
      </c>
      <c r="H17" s="76">
        <f>COUNTIF(คะแนน2!$U$5:$U$16, H16)</f>
        <v>0</v>
      </c>
      <c r="I17" s="76">
        <f>COUNTIF(คะแนน2!$U$5:$U$16, I16)</f>
        <v>0</v>
      </c>
      <c r="J17" s="76">
        <f>COUNTIF(คะแนน2!$U$5:$U$16, J16)</f>
        <v>0</v>
      </c>
      <c r="K17" s="76">
        <f>COUNTIF(คะแนน2!$U$5:$U$16, K16)</f>
        <v>0</v>
      </c>
      <c r="L17" s="76">
        <f>COUNTIF(คะแนน2!$U$5:$U$16, L16)</f>
        <v>0</v>
      </c>
      <c r="M17" s="77">
        <v>12</v>
      </c>
      <c r="N17" s="191">
        <v>0</v>
      </c>
      <c r="O17" s="192"/>
      <c r="P17" s="77"/>
      <c r="Q17" s="77"/>
      <c r="R17" s="71"/>
      <c r="S17" s="71"/>
      <c r="T17" s="70"/>
      <c r="U17" s="70"/>
      <c r="V17" s="70"/>
    </row>
    <row r="18" spans="1:22" ht="18.95" customHeight="1">
      <c r="A18" s="70"/>
      <c r="B18" s="71"/>
      <c r="C18" s="178" t="s">
        <v>26</v>
      </c>
      <c r="D18" s="178"/>
      <c r="E18" s="78">
        <f>(E17*100)/$C$17</f>
        <v>46.153846153846153</v>
      </c>
      <c r="F18" s="78">
        <f t="shared" ref="F18:L18" si="0">(F17*100)/$C$17</f>
        <v>15.384615384615385</v>
      </c>
      <c r="G18" s="78">
        <f t="shared" si="0"/>
        <v>30.76923076923077</v>
      </c>
      <c r="H18" s="78">
        <f t="shared" si="0"/>
        <v>0</v>
      </c>
      <c r="I18" s="78">
        <f t="shared" si="0"/>
        <v>0</v>
      </c>
      <c r="J18" s="78">
        <f t="shared" si="0"/>
        <v>0</v>
      </c>
      <c r="K18" s="78">
        <f t="shared" si="0"/>
        <v>0</v>
      </c>
      <c r="L18" s="78">
        <f t="shared" si="0"/>
        <v>0</v>
      </c>
      <c r="M18" s="78">
        <v>100</v>
      </c>
      <c r="N18" s="179">
        <v>0</v>
      </c>
      <c r="O18" s="180"/>
      <c r="P18" s="77"/>
      <c r="Q18" s="77"/>
      <c r="R18" s="71"/>
      <c r="S18" s="71"/>
      <c r="T18" s="70"/>
      <c r="U18" s="70"/>
      <c r="V18" s="70"/>
    </row>
    <row r="19" spans="1:22" ht="15" customHeight="1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0"/>
      <c r="U19" s="70"/>
      <c r="V19" s="70"/>
    </row>
    <row r="20" spans="1:22" ht="18.95" customHeight="1">
      <c r="A20" s="70"/>
      <c r="B20" s="71"/>
      <c r="C20" s="193" t="s">
        <v>27</v>
      </c>
      <c r="D20" s="193"/>
      <c r="E20" s="193"/>
      <c r="F20" s="193"/>
      <c r="G20" s="193"/>
      <c r="H20" s="193"/>
      <c r="I20" s="193"/>
      <c r="J20" s="193"/>
      <c r="K20" s="79"/>
      <c r="L20" s="194" t="s">
        <v>28</v>
      </c>
      <c r="M20" s="195"/>
      <c r="N20" s="195"/>
      <c r="O20" s="195"/>
      <c r="P20" s="195"/>
      <c r="Q20" s="195"/>
      <c r="R20" s="195"/>
      <c r="S20" s="196"/>
      <c r="T20" s="70"/>
      <c r="U20" s="70"/>
      <c r="V20" s="70"/>
    </row>
    <row r="21" spans="1:22" ht="18.95" customHeight="1">
      <c r="A21" s="70"/>
      <c r="B21" s="71"/>
      <c r="C21" s="193" t="s">
        <v>29</v>
      </c>
      <c r="D21" s="193"/>
      <c r="E21" s="193" t="s">
        <v>30</v>
      </c>
      <c r="F21" s="193"/>
      <c r="G21" s="193" t="s">
        <v>31</v>
      </c>
      <c r="H21" s="193"/>
      <c r="I21" s="193" t="s">
        <v>32</v>
      </c>
      <c r="J21" s="193"/>
      <c r="K21" s="79"/>
      <c r="L21" s="194" t="s">
        <v>29</v>
      </c>
      <c r="M21" s="196"/>
      <c r="N21" s="194" t="s">
        <v>30</v>
      </c>
      <c r="O21" s="196"/>
      <c r="P21" s="194" t="s">
        <v>31</v>
      </c>
      <c r="Q21" s="196"/>
      <c r="R21" s="194" t="s">
        <v>32</v>
      </c>
      <c r="S21" s="196"/>
      <c r="T21" s="70"/>
      <c r="U21" s="70"/>
      <c r="V21" s="70"/>
    </row>
    <row r="22" spans="1:22" ht="18.95" customHeight="1">
      <c r="A22" s="70"/>
      <c r="B22" s="71"/>
      <c r="C22" s="191">
        <f>COUNTIF(คุณลักษณะ!$N$5:$N$16, "ดีเยี่ยม")</f>
        <v>8</v>
      </c>
      <c r="D22" s="192"/>
      <c r="E22" s="191">
        <f>COUNTIF(คุณลักษณะ!$N$5:$N$16, "ดี")</f>
        <v>4</v>
      </c>
      <c r="F22" s="192"/>
      <c r="G22" s="191">
        <f>COUNTIF(คุณลักษณะ!$N$5:$N$16, "ผ่าน")</f>
        <v>0</v>
      </c>
      <c r="H22" s="192"/>
      <c r="I22" s="191">
        <f>COUNTIF(คุณลักษณะ!$N$5:$N$16, "ไม่ผ่าน")</f>
        <v>0</v>
      </c>
      <c r="J22" s="192"/>
      <c r="K22" s="80" t="s">
        <v>33</v>
      </c>
      <c r="L22" s="191">
        <f>COUNTIF(อ่านคิด!$O$5:$O$16, "ดีเยี่ยม")</f>
        <v>8</v>
      </c>
      <c r="M22" s="192"/>
      <c r="N22" s="191">
        <f>COUNTIF(อ่านคิด!$O$5:$O$16, "ดี")</f>
        <v>4</v>
      </c>
      <c r="O22" s="192"/>
      <c r="P22" s="191">
        <f>COUNTIF(อ่านคิด!$O$5:$O$16, "ผ่าน")</f>
        <v>0</v>
      </c>
      <c r="Q22" s="192"/>
      <c r="R22" s="191">
        <f>COUNTIF(อ่านคิด!$O$5:$O$16, "ไม่ผ่าน")</f>
        <v>0</v>
      </c>
      <c r="S22" s="192"/>
      <c r="T22" s="70"/>
      <c r="U22" s="70"/>
      <c r="V22" s="70"/>
    </row>
    <row r="23" spans="1:22" ht="18.95" customHeight="1">
      <c r="A23" s="70"/>
      <c r="B23" s="71"/>
      <c r="C23" s="179">
        <f>(C22*100)/$C$17</f>
        <v>61.53846153846154</v>
      </c>
      <c r="D23" s="180"/>
      <c r="E23" s="179">
        <f t="shared" ref="E23" si="1">(E22*100)/$C$17</f>
        <v>30.76923076923077</v>
      </c>
      <c r="F23" s="180"/>
      <c r="G23" s="179">
        <f t="shared" ref="G23" si="2">(G22*100)/$C$17</f>
        <v>0</v>
      </c>
      <c r="H23" s="180"/>
      <c r="I23" s="179">
        <f t="shared" ref="I23" si="3">(I22*100)/$C$17</f>
        <v>0</v>
      </c>
      <c r="J23" s="180"/>
      <c r="K23" s="80" t="s">
        <v>34</v>
      </c>
      <c r="L23" s="179">
        <f>(L22*100)/$C$17</f>
        <v>61.53846153846154</v>
      </c>
      <c r="M23" s="180"/>
      <c r="N23" s="179">
        <f t="shared" ref="N23" si="4">(N22*100)/$C$17</f>
        <v>30.76923076923077</v>
      </c>
      <c r="O23" s="180"/>
      <c r="P23" s="179">
        <f>(P22*100)/$C$17</f>
        <v>0</v>
      </c>
      <c r="Q23" s="180"/>
      <c r="R23" s="179">
        <f t="shared" ref="R23" si="5">(R22*100)/$C$17</f>
        <v>0</v>
      </c>
      <c r="S23" s="180"/>
      <c r="T23" s="70"/>
      <c r="U23" s="70"/>
      <c r="V23" s="70"/>
    </row>
    <row r="24" spans="1:22" ht="6.75" customHeight="1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0"/>
      <c r="U24" s="70"/>
      <c r="V24" s="70"/>
    </row>
    <row r="25" spans="1:22" ht="21" customHeight="1">
      <c r="A25" s="70"/>
      <c r="B25" s="71"/>
      <c r="C25" s="177" t="s">
        <v>35</v>
      </c>
      <c r="D25" s="177"/>
      <c r="E25" s="177"/>
      <c r="F25" s="177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0"/>
      <c r="U25" s="70"/>
      <c r="V25" s="70"/>
    </row>
    <row r="26" spans="1:22" ht="10.5" customHeight="1">
      <c r="A26" s="70"/>
      <c r="B26" s="71"/>
      <c r="C26" s="158"/>
      <c r="D26" s="158"/>
      <c r="E26" s="158"/>
      <c r="F26" s="158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0"/>
      <c r="U26" s="70"/>
      <c r="V26" s="70"/>
    </row>
    <row r="27" spans="1:22" ht="19.5" customHeight="1">
      <c r="A27" s="70"/>
      <c r="B27" s="71"/>
      <c r="C27" s="71"/>
      <c r="D27" s="71"/>
      <c r="E27" s="71" t="s">
        <v>36</v>
      </c>
      <c r="F27" s="71" t="s">
        <v>37</v>
      </c>
      <c r="G27" s="71"/>
      <c r="H27" s="71"/>
      <c r="I27" s="71"/>
      <c r="J27" s="71"/>
      <c r="K27" s="71"/>
      <c r="L27" s="71" t="s">
        <v>14</v>
      </c>
      <c r="M27" s="71"/>
      <c r="N27" s="71"/>
      <c r="O27" s="71"/>
      <c r="P27" s="71"/>
      <c r="Q27" s="71"/>
      <c r="R27" s="71"/>
      <c r="S27" s="71"/>
      <c r="T27" s="70"/>
      <c r="U27" s="70"/>
      <c r="V27" s="70"/>
    </row>
    <row r="28" spans="1:22" ht="18.95" customHeight="1">
      <c r="A28" s="70"/>
      <c r="B28" s="71"/>
      <c r="C28" s="71"/>
      <c r="D28" s="71"/>
      <c r="E28" s="71"/>
      <c r="F28" s="119" t="s">
        <v>38</v>
      </c>
      <c r="G28" s="200" t="s">
        <v>343</v>
      </c>
      <c r="H28" s="177"/>
      <c r="I28" s="177"/>
      <c r="J28" s="177"/>
      <c r="K28" s="177"/>
      <c r="L28" s="71"/>
      <c r="M28" s="71"/>
      <c r="N28" s="71"/>
      <c r="O28" s="71"/>
      <c r="P28" s="71"/>
      <c r="Q28" s="71"/>
      <c r="R28" s="71"/>
      <c r="S28" s="71"/>
      <c r="T28" s="70"/>
      <c r="U28" s="70"/>
      <c r="V28" s="70"/>
    </row>
    <row r="29" spans="1:22" ht="20.25" customHeight="1">
      <c r="A29" s="70"/>
      <c r="B29" s="71"/>
      <c r="C29" s="71"/>
      <c r="D29" s="71"/>
      <c r="E29" s="71" t="s">
        <v>36</v>
      </c>
      <c r="F29" s="71" t="s">
        <v>37</v>
      </c>
      <c r="G29" s="71"/>
      <c r="H29" s="71"/>
      <c r="I29" s="71"/>
      <c r="J29" s="71"/>
      <c r="K29" s="71"/>
      <c r="L29" s="71" t="s">
        <v>39</v>
      </c>
      <c r="M29" s="71"/>
      <c r="N29" s="71"/>
      <c r="O29" s="71"/>
      <c r="P29" s="71"/>
      <c r="Q29" s="71"/>
      <c r="R29" s="71"/>
      <c r="S29" s="71"/>
      <c r="T29" s="70"/>
      <c r="U29" s="70"/>
      <c r="V29" s="70"/>
    </row>
    <row r="30" spans="1:22" ht="21.95" customHeight="1">
      <c r="A30" s="70"/>
      <c r="B30" s="71"/>
      <c r="C30" s="71"/>
      <c r="D30" s="71"/>
      <c r="E30" s="71"/>
      <c r="F30" s="198" t="s">
        <v>40</v>
      </c>
      <c r="G30" s="198"/>
      <c r="H30" s="198"/>
      <c r="I30" s="198"/>
      <c r="J30" s="198"/>
      <c r="K30" s="198"/>
      <c r="L30" s="71"/>
      <c r="M30" s="71"/>
      <c r="N30" s="71"/>
      <c r="O30" s="71"/>
      <c r="P30" s="71"/>
      <c r="Q30" s="71"/>
      <c r="R30" s="71"/>
      <c r="S30" s="71"/>
      <c r="T30" s="70"/>
      <c r="U30" s="70"/>
      <c r="V30" s="70"/>
    </row>
    <row r="31" spans="1:22" ht="22.5" customHeight="1">
      <c r="A31" s="70"/>
      <c r="B31" s="71"/>
      <c r="C31" s="71"/>
      <c r="D31" s="71"/>
      <c r="E31" s="71" t="s">
        <v>36</v>
      </c>
      <c r="F31" s="71" t="s">
        <v>37</v>
      </c>
      <c r="G31" s="71"/>
      <c r="H31" s="71"/>
      <c r="I31" s="71"/>
      <c r="J31" s="71"/>
      <c r="K31" s="71"/>
      <c r="L31" s="71" t="s">
        <v>41</v>
      </c>
      <c r="M31" s="71"/>
      <c r="N31" s="71"/>
      <c r="O31" s="71"/>
      <c r="P31" s="71"/>
      <c r="Q31" s="71"/>
      <c r="R31" s="71"/>
      <c r="S31" s="71"/>
      <c r="T31" s="70"/>
      <c r="U31" s="70"/>
      <c r="V31" s="70"/>
    </row>
    <row r="32" spans="1:22" ht="21.75" customHeight="1">
      <c r="A32" s="70"/>
      <c r="B32" s="71"/>
      <c r="C32" s="71"/>
      <c r="D32" s="71"/>
      <c r="E32" s="71"/>
      <c r="F32" s="198" t="s">
        <v>42</v>
      </c>
      <c r="G32" s="198"/>
      <c r="H32" s="198"/>
      <c r="I32" s="198"/>
      <c r="J32" s="198"/>
      <c r="K32" s="198"/>
      <c r="L32" s="71"/>
      <c r="M32" s="71"/>
      <c r="N32" s="71"/>
      <c r="O32" s="71"/>
      <c r="P32" s="71"/>
      <c r="Q32" s="71"/>
      <c r="R32" s="71"/>
      <c r="S32" s="71"/>
      <c r="T32" s="70"/>
      <c r="U32" s="70"/>
      <c r="V32" s="70"/>
    </row>
    <row r="33" spans="1:22" ht="24" customHeight="1">
      <c r="A33" s="70"/>
      <c r="B33" s="71"/>
      <c r="C33" s="177" t="s">
        <v>43</v>
      </c>
      <c r="D33" s="177"/>
      <c r="E33" s="177"/>
      <c r="F33" s="177"/>
      <c r="G33" s="177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0"/>
      <c r="U33" s="70"/>
      <c r="V33" s="70"/>
    </row>
    <row r="34" spans="1:22" ht="21" customHeight="1">
      <c r="A34" s="70"/>
      <c r="B34" s="71"/>
      <c r="C34" s="71"/>
      <c r="D34" s="71"/>
      <c r="E34" s="71" t="s">
        <v>36</v>
      </c>
      <c r="F34" s="71" t="s">
        <v>37</v>
      </c>
      <c r="G34" s="71"/>
      <c r="H34" s="71"/>
      <c r="I34" s="71"/>
      <c r="J34" s="71"/>
      <c r="K34" s="71"/>
      <c r="L34" s="71" t="s">
        <v>44</v>
      </c>
      <c r="M34" s="71"/>
      <c r="N34" s="71"/>
      <c r="O34" s="71"/>
      <c r="P34" s="71"/>
      <c r="Q34" s="71"/>
      <c r="R34" s="71"/>
      <c r="S34" s="71"/>
      <c r="T34" s="70"/>
      <c r="U34" s="70"/>
      <c r="V34" s="70"/>
    </row>
    <row r="35" spans="1:22" ht="21" customHeight="1">
      <c r="A35" s="70"/>
      <c r="B35" s="71"/>
      <c r="C35" s="71"/>
      <c r="D35" s="71"/>
      <c r="E35" s="71"/>
      <c r="F35" s="199" t="s">
        <v>45</v>
      </c>
      <c r="G35" s="199"/>
      <c r="H35" s="199"/>
      <c r="I35" s="199"/>
      <c r="J35" s="199"/>
      <c r="K35" s="199"/>
      <c r="L35" s="71"/>
      <c r="M35" s="71"/>
      <c r="N35" s="71"/>
      <c r="O35" s="71"/>
      <c r="P35" s="71"/>
      <c r="Q35" s="71"/>
      <c r="R35" s="71"/>
      <c r="S35" s="71"/>
      <c r="T35" s="70"/>
      <c r="U35" s="70"/>
      <c r="V35" s="70"/>
    </row>
    <row r="36" spans="1:22" ht="12.75" customHeight="1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0"/>
      <c r="U36" s="70"/>
      <c r="V36" s="70"/>
    </row>
    <row r="37" spans="1:22" ht="21" customHeight="1">
      <c r="A37" s="70"/>
      <c r="B37" s="71"/>
      <c r="C37" s="81" t="s">
        <v>46</v>
      </c>
      <c r="D37" s="197" t="s">
        <v>47</v>
      </c>
      <c r="E37" s="197"/>
      <c r="F37" s="81" t="s">
        <v>46</v>
      </c>
      <c r="G37" s="197" t="s">
        <v>48</v>
      </c>
      <c r="H37" s="197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0"/>
      <c r="U37" s="70"/>
      <c r="V37" s="70"/>
    </row>
    <row r="38" spans="1:22" ht="16.5" customHeight="1">
      <c r="A38" s="70"/>
      <c r="B38" s="71"/>
      <c r="C38" s="81"/>
      <c r="D38" s="156"/>
      <c r="E38" s="156"/>
      <c r="F38" s="81"/>
      <c r="G38" s="156"/>
      <c r="H38" s="156"/>
      <c r="I38" s="71" t="s">
        <v>49</v>
      </c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0"/>
      <c r="U38" s="70"/>
      <c r="V38" s="70"/>
    </row>
    <row r="39" spans="1:22" ht="21" customHeight="1">
      <c r="A39" s="70"/>
      <c r="B39" s="71"/>
      <c r="C39" s="71"/>
      <c r="D39" s="71"/>
      <c r="E39" s="71"/>
      <c r="F39" s="71"/>
      <c r="G39" s="71"/>
      <c r="H39" s="82"/>
      <c r="I39" s="201" t="s">
        <v>50</v>
      </c>
      <c r="J39" s="201"/>
      <c r="K39" s="201"/>
      <c r="L39" s="201"/>
      <c r="M39" s="201"/>
      <c r="N39" s="201"/>
      <c r="O39" s="201"/>
      <c r="P39" s="71"/>
      <c r="Q39" s="71"/>
      <c r="R39" s="71"/>
      <c r="S39" s="71"/>
      <c r="T39" s="70"/>
      <c r="U39" s="70"/>
      <c r="V39" s="70"/>
    </row>
    <row r="40" spans="1:22" ht="21" customHeight="1">
      <c r="A40" s="70"/>
      <c r="B40" s="71"/>
      <c r="C40" s="71"/>
      <c r="D40" s="71"/>
      <c r="E40" s="71"/>
      <c r="F40" s="71"/>
      <c r="G40" s="71"/>
      <c r="H40" s="82"/>
      <c r="I40" s="197" t="s">
        <v>51</v>
      </c>
      <c r="J40" s="197"/>
      <c r="K40" s="197"/>
      <c r="L40" s="197"/>
      <c r="M40" s="197"/>
      <c r="N40" s="197"/>
      <c r="O40" s="197"/>
      <c r="P40" s="197"/>
      <c r="Q40" s="71"/>
      <c r="R40" s="71"/>
      <c r="S40" s="71"/>
      <c r="T40" s="70"/>
      <c r="U40" s="70"/>
      <c r="V40" s="70"/>
    </row>
    <row r="41" spans="1:22" ht="35.1" customHeight="1">
      <c r="A41" s="70"/>
      <c r="B41" s="71"/>
      <c r="C41" s="71"/>
      <c r="D41" s="71"/>
      <c r="E41" s="71"/>
      <c r="F41" s="71"/>
      <c r="G41" s="71"/>
      <c r="H41" s="157" t="s">
        <v>52</v>
      </c>
      <c r="I41" s="82">
        <v>31</v>
      </c>
      <c r="J41" s="202" t="s">
        <v>53</v>
      </c>
      <c r="K41" s="202"/>
      <c r="L41" s="203" t="s">
        <v>54</v>
      </c>
      <c r="M41" s="203"/>
      <c r="N41" s="197">
        <v>2569</v>
      </c>
      <c r="O41" s="197"/>
      <c r="P41" s="71"/>
      <c r="Q41" s="71"/>
      <c r="R41" s="71"/>
      <c r="S41" s="71"/>
      <c r="T41" s="70"/>
      <c r="U41" s="70"/>
      <c r="V41" s="70"/>
    </row>
    <row r="42" spans="1:22" ht="27.95" customHeight="1">
      <c r="A42" s="70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0"/>
      <c r="U42" s="70"/>
      <c r="V42" s="70"/>
    </row>
    <row r="43" spans="1:22" ht="21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</row>
    <row r="44" spans="1:22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</row>
    <row r="45" spans="1:22">
      <c r="A45" s="70"/>
      <c r="T45" s="70"/>
      <c r="U45" s="70"/>
      <c r="V45" s="70"/>
    </row>
  </sheetData>
  <mergeCells count="68">
    <mergeCell ref="I39:O39"/>
    <mergeCell ref="I40:P40"/>
    <mergeCell ref="J41:K41"/>
    <mergeCell ref="L41:M41"/>
    <mergeCell ref="N41:O41"/>
    <mergeCell ref="C25:F25"/>
    <mergeCell ref="F30:K30"/>
    <mergeCell ref="F32:K32"/>
    <mergeCell ref="C33:G33"/>
    <mergeCell ref="F35:K35"/>
    <mergeCell ref="G28:K28"/>
    <mergeCell ref="D37:E37"/>
    <mergeCell ref="G37:H37"/>
    <mergeCell ref="P22:Q22"/>
    <mergeCell ref="R22:S22"/>
    <mergeCell ref="C23:D23"/>
    <mergeCell ref="E23:F23"/>
    <mergeCell ref="G23:H23"/>
    <mergeCell ref="I23:J23"/>
    <mergeCell ref="L23:M23"/>
    <mergeCell ref="N23:O23"/>
    <mergeCell ref="P23:Q23"/>
    <mergeCell ref="R23:S23"/>
    <mergeCell ref="C22:D22"/>
    <mergeCell ref="E22:F22"/>
    <mergeCell ref="G22:H22"/>
    <mergeCell ref="I22:J22"/>
    <mergeCell ref="P15:Q15"/>
    <mergeCell ref="N16:O16"/>
    <mergeCell ref="C17:D17"/>
    <mergeCell ref="N17:O17"/>
    <mergeCell ref="L22:M22"/>
    <mergeCell ref="N22:O22"/>
    <mergeCell ref="C20:J20"/>
    <mergeCell ref="L20:S20"/>
    <mergeCell ref="C21:D21"/>
    <mergeCell ref="E21:F21"/>
    <mergeCell ref="G21:H21"/>
    <mergeCell ref="I21:J21"/>
    <mergeCell ref="L21:M21"/>
    <mergeCell ref="N21:O21"/>
    <mergeCell ref="P21:Q21"/>
    <mergeCell ref="R21:S21"/>
    <mergeCell ref="C18:D18"/>
    <mergeCell ref="N18:O18"/>
    <mergeCell ref="D12:E12"/>
    <mergeCell ref="F12:J12"/>
    <mergeCell ref="D13:E13"/>
    <mergeCell ref="C14:E14"/>
    <mergeCell ref="C15:D16"/>
    <mergeCell ref="E15:L15"/>
    <mergeCell ref="M15:O15"/>
    <mergeCell ref="F13:M13"/>
    <mergeCell ref="B10:I10"/>
    <mergeCell ref="J10:K10"/>
    <mergeCell ref="M10:N10"/>
    <mergeCell ref="P10:R10"/>
    <mergeCell ref="D7:E7"/>
    <mergeCell ref="F7:H7"/>
    <mergeCell ref="I7:J7"/>
    <mergeCell ref="K7:L7"/>
    <mergeCell ref="M7:N7"/>
    <mergeCell ref="O7:P7"/>
    <mergeCell ref="E8:H8"/>
    <mergeCell ref="I8:J8"/>
    <mergeCell ref="K8:M8"/>
    <mergeCell ref="N8:O8"/>
    <mergeCell ref="C9:P9"/>
  </mergeCells>
  <printOptions horizontalCentered="1" verticalCentered="1"/>
  <pageMargins left="0.15748031496062992" right="0.19685039370078741" top="0.47244094488188981" bottom="0.19685039370078741" header="0" footer="0"/>
  <pageSetup paperSize="9" scale="94" orientation="portrait" blackAndWhite="1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P25"/>
  <sheetViews>
    <sheetView view="pageBreakPreview" topLeftCell="E6" zoomScale="110" zoomScaleNormal="100" zoomScaleSheetLayoutView="110" workbookViewId="0">
      <selection activeCell="E6" sqref="E6"/>
    </sheetView>
  </sheetViews>
  <sheetFormatPr defaultColWidth="9" defaultRowHeight="15"/>
  <cols>
    <col min="1" max="1" width="1.42578125" style="1" customWidth="1"/>
    <col min="2" max="2" width="5" style="1" customWidth="1"/>
    <col min="3" max="3" width="3.28515625" style="1" customWidth="1"/>
    <col min="4" max="4" width="6.7109375" style="1" customWidth="1"/>
    <col min="5" max="5" width="18.85546875" style="1" customWidth="1"/>
    <col min="6" max="6" width="27.5703125" style="83" customWidth="1"/>
    <col min="7" max="7" width="17.85546875" style="83" customWidth="1"/>
    <col min="8" max="8" width="16.5703125" style="1" customWidth="1"/>
    <col min="9" max="11" width="9" style="1"/>
    <col min="12" max="12" width="17.140625" style="1" customWidth="1"/>
    <col min="13" max="13" width="20.7109375" style="1" customWidth="1"/>
    <col min="14" max="16384" width="9" style="1"/>
  </cols>
  <sheetData>
    <row r="1" spans="3:16" ht="43.5" customHeight="1"/>
    <row r="2" spans="3:16" ht="23.25">
      <c r="C2" s="204" t="s">
        <v>55</v>
      </c>
      <c r="D2" s="204"/>
      <c r="E2" s="204"/>
      <c r="F2" s="204"/>
      <c r="G2" s="204"/>
      <c r="H2" s="204"/>
      <c r="I2" s="3"/>
    </row>
    <row r="3" spans="3:16" ht="25.5" customHeight="1">
      <c r="C3" s="205" t="s">
        <v>56</v>
      </c>
      <c r="D3" s="205" t="s">
        <v>57</v>
      </c>
      <c r="E3" s="206" t="s">
        <v>58</v>
      </c>
      <c r="F3" s="207" t="s">
        <v>59</v>
      </c>
      <c r="G3" s="207" t="s">
        <v>60</v>
      </c>
      <c r="H3" s="208" t="s">
        <v>61</v>
      </c>
      <c r="I3" s="3"/>
    </row>
    <row r="4" spans="3:16" ht="21" customHeight="1">
      <c r="C4" s="205"/>
      <c r="D4" s="205"/>
      <c r="E4" s="206"/>
      <c r="F4" s="207"/>
      <c r="G4" s="207"/>
      <c r="H4" s="208"/>
      <c r="I4" s="3"/>
    </row>
    <row r="5" spans="3:16" ht="18.75" customHeight="1">
      <c r="C5" s="205"/>
      <c r="D5" s="205"/>
      <c r="E5" s="206"/>
      <c r="F5" s="207"/>
      <c r="G5" s="207"/>
      <c r="H5" s="208"/>
      <c r="I5" s="3"/>
    </row>
    <row r="6" spans="3:16" ht="19.5" customHeight="1">
      <c r="C6" s="120">
        <v>1</v>
      </c>
      <c r="D6" s="121">
        <v>1743</v>
      </c>
      <c r="E6" s="153">
        <v>1240600385503</v>
      </c>
      <c r="F6" s="136" t="s">
        <v>62</v>
      </c>
      <c r="G6" s="137" t="s">
        <v>63</v>
      </c>
      <c r="H6" s="122"/>
      <c r="I6" s="3"/>
      <c r="L6" s="84"/>
      <c r="M6" s="85"/>
      <c r="N6" s="84"/>
      <c r="P6" s="12"/>
    </row>
    <row r="7" spans="3:16" ht="19.5" customHeight="1">
      <c r="C7" s="120">
        <v>2</v>
      </c>
      <c r="D7" s="121">
        <v>1744</v>
      </c>
      <c r="E7" s="154">
        <v>1459700117035</v>
      </c>
      <c r="F7" s="136" t="s">
        <v>64</v>
      </c>
      <c r="G7" s="137" t="s">
        <v>65</v>
      </c>
      <c r="H7" s="122"/>
      <c r="I7" s="3"/>
      <c r="L7" s="84"/>
      <c r="M7" s="85"/>
      <c r="N7" s="84"/>
      <c r="P7" s="12"/>
    </row>
    <row r="8" spans="3:16" ht="19.5" customHeight="1">
      <c r="C8" s="120">
        <v>3</v>
      </c>
      <c r="D8" s="121">
        <v>1745</v>
      </c>
      <c r="E8" s="153">
        <v>1100401866090</v>
      </c>
      <c r="F8" s="136" t="s">
        <v>66</v>
      </c>
      <c r="G8" s="137" t="s">
        <v>67</v>
      </c>
      <c r="H8" s="122"/>
      <c r="I8" s="3"/>
      <c r="L8" s="84"/>
      <c r="M8" s="85"/>
      <c r="N8" s="84"/>
      <c r="P8" s="12"/>
    </row>
    <row r="9" spans="3:16" ht="19.5" customHeight="1">
      <c r="C9" s="120">
        <v>4</v>
      </c>
      <c r="D9" s="121">
        <v>1746</v>
      </c>
      <c r="E9" s="154">
        <v>1459700121172</v>
      </c>
      <c r="F9" s="136" t="s">
        <v>68</v>
      </c>
      <c r="G9" s="137" t="s">
        <v>69</v>
      </c>
      <c r="H9" s="122"/>
      <c r="I9" s="3"/>
      <c r="L9" s="84"/>
      <c r="M9" s="85"/>
      <c r="N9" s="84"/>
      <c r="P9" s="12"/>
    </row>
    <row r="10" spans="3:16" ht="19.5" customHeight="1">
      <c r="C10" s="120">
        <v>5</v>
      </c>
      <c r="D10" s="121">
        <v>1747</v>
      </c>
      <c r="E10" s="153">
        <v>1459700118244</v>
      </c>
      <c r="F10" s="136" t="s">
        <v>70</v>
      </c>
      <c r="G10" s="137" t="s">
        <v>71</v>
      </c>
      <c r="H10" s="122"/>
      <c r="I10" s="3"/>
      <c r="L10" s="84"/>
      <c r="M10" s="85"/>
      <c r="N10" s="84"/>
      <c r="P10" s="12"/>
    </row>
    <row r="11" spans="3:16" ht="19.5" customHeight="1">
      <c r="C11" s="120">
        <v>6</v>
      </c>
      <c r="D11" s="121">
        <v>1748</v>
      </c>
      <c r="E11" s="154">
        <v>1459700119372</v>
      </c>
      <c r="F11" s="136" t="s">
        <v>72</v>
      </c>
      <c r="G11" s="137" t="s">
        <v>73</v>
      </c>
      <c r="H11" s="122"/>
      <c r="I11" s="3"/>
      <c r="L11" s="84"/>
      <c r="M11" s="85"/>
      <c r="N11" s="84"/>
      <c r="P11" s="12"/>
    </row>
    <row r="12" spans="3:16" ht="19.5" customHeight="1">
      <c r="C12" s="120">
        <v>7</v>
      </c>
      <c r="D12" s="121">
        <v>1749</v>
      </c>
      <c r="E12" s="154">
        <v>1749901694975</v>
      </c>
      <c r="F12" s="136" t="s">
        <v>74</v>
      </c>
      <c r="G12" s="137" t="s">
        <v>75</v>
      </c>
      <c r="H12" s="122"/>
      <c r="I12" s="3"/>
      <c r="L12" s="84"/>
      <c r="M12" s="85"/>
      <c r="N12" s="84"/>
      <c r="P12" s="12"/>
    </row>
    <row r="13" spans="3:16" ht="19.5" customHeight="1">
      <c r="C13" s="120">
        <v>8</v>
      </c>
      <c r="D13" s="121">
        <v>1750</v>
      </c>
      <c r="E13" s="154">
        <v>1459901881999</v>
      </c>
      <c r="F13" s="136" t="s">
        <v>76</v>
      </c>
      <c r="G13" s="137" t="s">
        <v>77</v>
      </c>
      <c r="H13" s="122"/>
      <c r="I13" s="3"/>
      <c r="L13" s="84"/>
      <c r="M13" s="85"/>
      <c r="N13" s="84"/>
      <c r="P13" s="12"/>
    </row>
    <row r="14" spans="3:16" ht="19.5" customHeight="1">
      <c r="C14" s="120">
        <v>9</v>
      </c>
      <c r="D14" s="121">
        <v>1751</v>
      </c>
      <c r="E14" s="153">
        <v>1459700116861</v>
      </c>
      <c r="F14" s="136" t="s">
        <v>78</v>
      </c>
      <c r="G14" s="137" t="s">
        <v>79</v>
      </c>
      <c r="H14" s="122"/>
      <c r="I14" s="3"/>
      <c r="L14" s="84"/>
      <c r="M14" s="85"/>
      <c r="N14" s="84"/>
      <c r="P14" s="12"/>
    </row>
    <row r="15" spans="3:16" ht="19.5" customHeight="1">
      <c r="C15" s="120">
        <v>10</v>
      </c>
      <c r="D15" s="149">
        <v>1752</v>
      </c>
      <c r="E15" s="155">
        <v>1459700117663</v>
      </c>
      <c r="F15" s="151" t="s">
        <v>80</v>
      </c>
      <c r="G15" s="137" t="s">
        <v>81</v>
      </c>
      <c r="H15" s="122"/>
      <c r="I15" s="3"/>
      <c r="L15" s="84"/>
      <c r="M15" s="85"/>
      <c r="N15" s="84"/>
      <c r="P15" s="12"/>
    </row>
    <row r="16" spans="3:16" ht="19.5" customHeight="1">
      <c r="C16" s="120">
        <v>11</v>
      </c>
      <c r="D16" s="121">
        <v>1753</v>
      </c>
      <c r="E16" s="150">
        <v>1459901857818</v>
      </c>
      <c r="F16" s="136" t="s">
        <v>82</v>
      </c>
      <c r="G16" s="121" t="s">
        <v>83</v>
      </c>
      <c r="H16" s="122"/>
      <c r="I16" s="3"/>
      <c r="L16" s="84"/>
      <c r="M16" s="85"/>
      <c r="N16" s="84"/>
      <c r="P16" s="12"/>
    </row>
    <row r="17" spans="3:16" ht="19.5" customHeight="1">
      <c r="C17" s="120">
        <v>13</v>
      </c>
      <c r="D17" s="121">
        <v>1764</v>
      </c>
      <c r="E17" s="152">
        <v>1169200155082</v>
      </c>
      <c r="F17" s="136" t="s">
        <v>84</v>
      </c>
      <c r="G17" s="121" t="s">
        <v>85</v>
      </c>
      <c r="H17" s="122"/>
      <c r="I17" s="3"/>
      <c r="L17" s="84"/>
      <c r="M17" s="85"/>
      <c r="N17" s="84"/>
      <c r="P17" s="12"/>
    </row>
    <row r="18" spans="3:16" ht="19.5" customHeight="1">
      <c r="C18" s="120">
        <v>12</v>
      </c>
      <c r="D18" s="121">
        <v>1764</v>
      </c>
      <c r="E18" s="152">
        <v>1459700118481</v>
      </c>
      <c r="F18" s="136" t="s">
        <v>326</v>
      </c>
      <c r="G18" s="121" t="s">
        <v>344</v>
      </c>
      <c r="H18" s="122"/>
      <c r="I18" s="3"/>
      <c r="L18" s="84"/>
      <c r="M18" s="85"/>
      <c r="N18" s="84"/>
      <c r="P18" s="12"/>
    </row>
    <row r="19" spans="3:16">
      <c r="F19" s="14"/>
    </row>
    <row r="24" spans="3:16">
      <c r="G24" s="1"/>
    </row>
    <row r="25" spans="3:16">
      <c r="G25" s="1"/>
    </row>
  </sheetData>
  <protectedRanges>
    <protectedRange sqref="H6:H18" name="ช่วง1"/>
    <protectedRange sqref="G6:G18" name="ช่วง1_2_1"/>
  </protectedRanges>
  <mergeCells count="7">
    <mergeCell ref="C2:H2"/>
    <mergeCell ref="C3:C5"/>
    <mergeCell ref="D3:D5"/>
    <mergeCell ref="E3:E5"/>
    <mergeCell ref="F3:F5"/>
    <mergeCell ref="G3:G5"/>
    <mergeCell ref="H3:H5"/>
  </mergeCells>
  <dataValidations count="2">
    <dataValidation type="list" allowBlank="1" showInputMessage="1" showErrorMessage="1" sqref="M6:M18 F6:F18" xr:uid="{00000000-0002-0000-0100-000000000000}">
      <formula1>list</formula1>
    </dataValidation>
    <dataValidation type="list" allowBlank="1" showInputMessage="1" showErrorMessage="1" sqref="H6:H18" xr:uid="{00000000-0002-0000-0100-000002000000}">
      <formula1>$K$6:$K$17</formula1>
    </dataValidation>
  </dataValidations>
  <printOptions horizontalCentered="1"/>
  <pageMargins left="0.31496062992125984" right="0.51181102362204722" top="0.19685039370078741" bottom="0" header="0.31496062992125984" footer="0.31496062992125984"/>
  <pageSetup paperSize="9" scale="96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view="pageBreakPreview" zoomScaleNormal="100" zoomScaleSheetLayoutView="100" workbookViewId="0">
      <selection activeCell="B2" sqref="B2:M2"/>
    </sheetView>
  </sheetViews>
  <sheetFormatPr defaultColWidth="9" defaultRowHeight="21"/>
  <cols>
    <col min="1" max="1" width="2.42578125" style="1" customWidth="1"/>
    <col min="2" max="2" width="4" style="16" customWidth="1"/>
    <col min="3" max="3" width="5.42578125" style="86" customWidth="1"/>
    <col min="4" max="4" width="8.28515625" style="86" customWidth="1"/>
    <col min="5" max="5" width="6.5703125" style="86" customWidth="1"/>
    <col min="6" max="6" width="5.7109375" style="86" customWidth="1"/>
    <col min="7" max="7" width="7.85546875" style="86" customWidth="1"/>
    <col min="8" max="8" width="8.140625" style="86" customWidth="1"/>
    <col min="9" max="9" width="6.85546875" style="86" customWidth="1"/>
    <col min="10" max="10" width="8.28515625" style="86" customWidth="1"/>
    <col min="11" max="11" width="9" style="86"/>
    <col min="12" max="12" width="7.140625" style="86" customWidth="1"/>
    <col min="13" max="13" width="6.42578125" style="86" customWidth="1"/>
    <col min="14" max="14" width="10.42578125" style="87" customWidth="1"/>
    <col min="15" max="16384" width="9" style="1"/>
  </cols>
  <sheetData>
    <row r="1" spans="1:13" ht="31.5" customHeight="1">
      <c r="A1" s="1" t="s">
        <v>345</v>
      </c>
    </row>
    <row r="2" spans="1:13" ht="23.25">
      <c r="B2" s="88"/>
      <c r="C2" s="209" t="s">
        <v>86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1:13">
      <c r="B3" s="89" t="s">
        <v>87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</row>
    <row r="4" spans="1:13">
      <c r="B4" s="90" t="s">
        <v>88</v>
      </c>
      <c r="C4" s="91" t="s">
        <v>89</v>
      </c>
      <c r="D4" s="87"/>
      <c r="E4" s="87"/>
      <c r="F4" s="87"/>
      <c r="G4" s="87"/>
      <c r="H4" s="87"/>
      <c r="I4" s="87"/>
      <c r="J4" s="87"/>
      <c r="K4" s="87"/>
      <c r="L4" s="87"/>
      <c r="M4" s="87"/>
    </row>
    <row r="5" spans="1:13">
      <c r="B5" s="90" t="s">
        <v>90</v>
      </c>
      <c r="C5" s="91" t="s">
        <v>91</v>
      </c>
      <c r="D5" s="87"/>
      <c r="E5" s="87"/>
      <c r="F5" s="87"/>
      <c r="G5" s="87"/>
      <c r="H5" s="87"/>
      <c r="I5" s="87"/>
      <c r="J5" s="87"/>
      <c r="K5" s="87"/>
      <c r="L5" s="87"/>
      <c r="M5" s="87"/>
    </row>
    <row r="6" spans="1:13">
      <c r="B6" s="90" t="s">
        <v>92</v>
      </c>
      <c r="C6" s="91" t="s">
        <v>93</v>
      </c>
      <c r="D6" s="87"/>
      <c r="E6" s="87"/>
      <c r="F6" s="87"/>
      <c r="G6" s="87"/>
      <c r="H6" s="87"/>
      <c r="I6" s="87"/>
      <c r="J6" s="87"/>
      <c r="K6" s="87"/>
      <c r="L6" s="87"/>
      <c r="M6" s="87"/>
    </row>
    <row r="7" spans="1:13">
      <c r="B7" s="90" t="s">
        <v>94</v>
      </c>
      <c r="C7" s="91" t="s">
        <v>95</v>
      </c>
      <c r="D7" s="87"/>
      <c r="E7" s="87"/>
      <c r="F7" s="87"/>
      <c r="G7" s="87"/>
      <c r="H7" s="87"/>
      <c r="I7" s="87"/>
      <c r="J7" s="87"/>
      <c r="K7" s="87"/>
      <c r="L7" s="87"/>
      <c r="M7" s="87"/>
    </row>
    <row r="8" spans="1:13">
      <c r="B8" s="90" t="s">
        <v>96</v>
      </c>
      <c r="C8" s="91" t="s">
        <v>97</v>
      </c>
      <c r="D8" s="87"/>
      <c r="E8" s="87"/>
      <c r="F8" s="87"/>
      <c r="G8" s="87"/>
      <c r="H8" s="87"/>
      <c r="I8" s="87"/>
      <c r="J8" s="87"/>
      <c r="K8" s="87"/>
      <c r="L8" s="87"/>
      <c r="M8" s="87"/>
    </row>
    <row r="9" spans="1:13">
      <c r="B9" s="91"/>
      <c r="C9" s="92">
        <v>5.0999999999999996</v>
      </c>
      <c r="D9" s="91" t="s">
        <v>98</v>
      </c>
      <c r="E9" s="87"/>
      <c r="F9" s="87"/>
      <c r="G9" s="87"/>
      <c r="H9" s="87"/>
      <c r="I9" s="87"/>
      <c r="J9" s="87"/>
      <c r="K9" s="87"/>
      <c r="L9" s="87"/>
      <c r="M9" s="87"/>
    </row>
    <row r="10" spans="1:13">
      <c r="B10" s="91"/>
      <c r="C10" s="92">
        <v>5.2</v>
      </c>
      <c r="D10" s="91" t="s">
        <v>99</v>
      </c>
      <c r="E10" s="87"/>
      <c r="F10" s="87"/>
      <c r="G10" s="87"/>
      <c r="H10" s="87"/>
      <c r="I10" s="87"/>
      <c r="J10" s="87"/>
      <c r="K10" s="87"/>
      <c r="L10" s="87"/>
      <c r="M10" s="87"/>
    </row>
    <row r="11" spans="1:13">
      <c r="B11" s="91"/>
      <c r="C11" s="92">
        <v>5.2</v>
      </c>
      <c r="D11" s="91" t="s">
        <v>100</v>
      </c>
      <c r="E11" s="87"/>
      <c r="F11" s="87"/>
      <c r="G11" s="87"/>
      <c r="H11" s="87"/>
      <c r="I11" s="87"/>
      <c r="J11" s="87"/>
      <c r="K11" s="87"/>
      <c r="L11" s="87"/>
      <c r="M11" s="87"/>
    </row>
    <row r="12" spans="1:13">
      <c r="B12" s="91"/>
      <c r="C12" s="92">
        <v>5.4</v>
      </c>
      <c r="D12" s="91" t="s">
        <v>101</v>
      </c>
      <c r="E12" s="87"/>
      <c r="F12" s="87"/>
      <c r="G12" s="87"/>
      <c r="H12" s="87"/>
      <c r="I12" s="87"/>
      <c r="J12" s="87"/>
      <c r="K12" s="87"/>
      <c r="L12" s="87"/>
      <c r="M12" s="87"/>
    </row>
    <row r="13" spans="1:13">
      <c r="B13" s="91"/>
      <c r="C13" s="92"/>
      <c r="D13" s="91" t="s">
        <v>102</v>
      </c>
      <c r="E13" s="87"/>
      <c r="F13" s="87"/>
      <c r="G13" s="87"/>
      <c r="H13" s="87"/>
      <c r="I13" s="87"/>
      <c r="J13" s="87"/>
      <c r="K13" s="87"/>
      <c r="L13" s="87"/>
      <c r="M13" s="87"/>
    </row>
    <row r="14" spans="1:13">
      <c r="B14" s="91"/>
      <c r="C14" s="92">
        <v>5.5</v>
      </c>
      <c r="D14" s="91" t="s">
        <v>103</v>
      </c>
      <c r="E14" s="87"/>
      <c r="F14" s="87"/>
      <c r="G14" s="87"/>
      <c r="H14" s="87"/>
      <c r="I14" s="87"/>
      <c r="J14" s="87"/>
      <c r="K14" s="87"/>
      <c r="L14" s="87"/>
      <c r="M14" s="87"/>
    </row>
    <row r="15" spans="1:13">
      <c r="B15" s="91"/>
      <c r="C15" s="92"/>
      <c r="D15" s="93" t="s">
        <v>104</v>
      </c>
      <c r="E15" s="87"/>
      <c r="F15" s="87"/>
      <c r="G15" s="87"/>
      <c r="H15" s="87"/>
      <c r="I15" s="87"/>
      <c r="J15" s="87"/>
      <c r="K15" s="87"/>
      <c r="L15" s="87"/>
      <c r="M15" s="87"/>
    </row>
    <row r="16" spans="1:13">
      <c r="B16" s="91"/>
      <c r="C16" s="91"/>
      <c r="D16" s="91" t="s">
        <v>105</v>
      </c>
      <c r="E16" s="87"/>
      <c r="F16" s="87"/>
      <c r="G16" s="87"/>
      <c r="H16" s="87"/>
      <c r="I16" s="87"/>
      <c r="J16" s="87"/>
      <c r="K16" s="87"/>
      <c r="L16" s="87"/>
      <c r="M16" s="87"/>
    </row>
    <row r="17" spans="2:13">
      <c r="B17" s="91"/>
      <c r="C17" s="91">
        <v>13</v>
      </c>
      <c r="D17" s="91"/>
      <c r="E17" s="87"/>
      <c r="F17" s="87"/>
      <c r="G17" s="87"/>
      <c r="H17" s="87"/>
      <c r="I17" s="87"/>
      <c r="J17" s="87"/>
      <c r="K17" s="87"/>
      <c r="L17" s="87"/>
      <c r="M17" s="87"/>
    </row>
    <row r="18" spans="2:13">
      <c r="B18" s="89" t="s">
        <v>106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</row>
    <row r="19" spans="2:13">
      <c r="B19" s="90" t="s">
        <v>88</v>
      </c>
      <c r="C19" s="91" t="s">
        <v>107</v>
      </c>
      <c r="D19" s="87"/>
      <c r="E19" s="87"/>
      <c r="F19" s="87"/>
      <c r="G19" s="87"/>
      <c r="H19" s="87"/>
      <c r="I19" s="87"/>
      <c r="J19" s="87"/>
      <c r="K19" s="87"/>
      <c r="L19" s="87"/>
      <c r="M19" s="87"/>
    </row>
    <row r="20" spans="2:13">
      <c r="B20" s="90" t="s">
        <v>90</v>
      </c>
      <c r="C20" s="91" t="s">
        <v>108</v>
      </c>
      <c r="D20" s="87"/>
      <c r="E20" s="87"/>
      <c r="F20" s="87"/>
      <c r="G20" s="87"/>
      <c r="H20" s="87"/>
      <c r="I20" s="87"/>
      <c r="J20" s="87"/>
      <c r="K20" s="87"/>
      <c r="L20" s="87"/>
      <c r="M20" s="87"/>
    </row>
    <row r="21" spans="2:13">
      <c r="B21" s="90" t="s">
        <v>92</v>
      </c>
      <c r="C21" s="91" t="s">
        <v>109</v>
      </c>
      <c r="D21" s="87"/>
      <c r="E21" s="87"/>
      <c r="F21" s="87"/>
      <c r="G21" s="87"/>
      <c r="H21" s="87"/>
      <c r="I21" s="87"/>
      <c r="J21" s="87"/>
      <c r="K21" s="87"/>
      <c r="L21" s="87"/>
      <c r="M21" s="87"/>
    </row>
    <row r="22" spans="2:13">
      <c r="B22" s="91"/>
      <c r="C22" s="92"/>
      <c r="D22" s="94" t="s">
        <v>110</v>
      </c>
      <c r="E22" s="91" t="s">
        <v>111</v>
      </c>
      <c r="F22" s="87"/>
      <c r="G22" s="87"/>
      <c r="H22" s="87"/>
      <c r="I22" s="87"/>
      <c r="J22" s="87"/>
      <c r="K22" s="87"/>
      <c r="L22" s="87"/>
      <c r="M22" s="87"/>
    </row>
    <row r="23" spans="2:13">
      <c r="B23" s="91"/>
      <c r="C23" s="92"/>
      <c r="D23" s="94" t="s">
        <v>112</v>
      </c>
      <c r="E23" s="91" t="s">
        <v>113</v>
      </c>
      <c r="F23" s="87"/>
      <c r="G23" s="87"/>
      <c r="H23" s="87"/>
      <c r="I23" s="87"/>
      <c r="J23" s="87"/>
      <c r="K23" s="87"/>
      <c r="L23" s="87"/>
      <c r="M23" s="87"/>
    </row>
    <row r="24" spans="2:13">
      <c r="B24" s="91"/>
      <c r="C24" s="92"/>
      <c r="D24" s="94" t="s">
        <v>114</v>
      </c>
      <c r="E24" s="91" t="s">
        <v>115</v>
      </c>
      <c r="F24" s="87"/>
      <c r="G24" s="87"/>
      <c r="H24" s="87"/>
      <c r="I24" s="87"/>
      <c r="J24" s="87"/>
      <c r="K24" s="87"/>
      <c r="L24" s="87"/>
      <c r="M24" s="87"/>
    </row>
    <row r="25" spans="2:13">
      <c r="B25" s="91"/>
      <c r="C25" s="92"/>
      <c r="D25" s="94" t="s">
        <v>116</v>
      </c>
      <c r="E25" s="91" t="s">
        <v>117</v>
      </c>
      <c r="F25" s="87"/>
      <c r="G25" s="87"/>
      <c r="H25" s="87"/>
      <c r="I25" s="87"/>
      <c r="J25" s="87"/>
      <c r="K25" s="87"/>
      <c r="L25" s="87"/>
      <c r="M25" s="87"/>
    </row>
    <row r="26" spans="2:13">
      <c r="B26" s="90" t="s">
        <v>94</v>
      </c>
      <c r="C26" s="91" t="s">
        <v>118</v>
      </c>
      <c r="D26" s="95"/>
      <c r="E26" s="87"/>
      <c r="F26" s="87"/>
      <c r="G26" s="87"/>
      <c r="H26" s="87"/>
      <c r="I26" s="87"/>
      <c r="J26" s="87"/>
      <c r="K26" s="87"/>
      <c r="L26" s="87"/>
      <c r="M26" s="87"/>
    </row>
    <row r="27" spans="2:13">
      <c r="B27" s="90"/>
      <c r="C27" s="91" t="s">
        <v>119</v>
      </c>
      <c r="D27" s="95"/>
      <c r="E27" s="87"/>
      <c r="F27" s="87"/>
      <c r="G27" s="87"/>
      <c r="H27" s="87"/>
      <c r="I27" s="87"/>
      <c r="J27" s="87"/>
      <c r="K27" s="87"/>
      <c r="L27" s="87"/>
      <c r="M27" s="87"/>
    </row>
    <row r="28" spans="2:13">
      <c r="B28" s="90" t="s">
        <v>96</v>
      </c>
      <c r="C28" s="91" t="s">
        <v>120</v>
      </c>
      <c r="D28" s="95"/>
      <c r="E28" s="87"/>
      <c r="F28" s="87"/>
      <c r="G28" s="87"/>
      <c r="H28" s="87"/>
      <c r="I28" s="87"/>
      <c r="J28" s="87"/>
      <c r="K28" s="87"/>
      <c r="L28" s="87"/>
      <c r="M28" s="87"/>
    </row>
    <row r="29" spans="2:13">
      <c r="B29" s="90"/>
      <c r="C29" s="91" t="s">
        <v>121</v>
      </c>
      <c r="D29" s="96"/>
      <c r="E29" s="87"/>
      <c r="F29" s="87"/>
      <c r="G29" s="87"/>
      <c r="H29" s="87"/>
      <c r="I29" s="87"/>
      <c r="J29" s="87"/>
      <c r="K29" s="87"/>
      <c r="L29" s="87"/>
      <c r="M29" s="87"/>
    </row>
    <row r="30" spans="2:13">
      <c r="B30" s="90" t="s">
        <v>122</v>
      </c>
      <c r="C30" s="91" t="s">
        <v>123</v>
      </c>
      <c r="D30" s="96"/>
      <c r="E30" s="87"/>
      <c r="F30" s="87"/>
      <c r="G30" s="87"/>
      <c r="H30" s="87"/>
      <c r="I30" s="87"/>
      <c r="J30" s="87"/>
      <c r="K30" s="87"/>
      <c r="L30" s="87"/>
      <c r="M30" s="87"/>
    </row>
    <row r="31" spans="2:13">
      <c r="B31" s="90" t="s">
        <v>124</v>
      </c>
      <c r="C31" s="91" t="s">
        <v>125</v>
      </c>
      <c r="D31" s="96"/>
      <c r="E31" s="87"/>
      <c r="F31" s="87"/>
      <c r="G31" s="87"/>
      <c r="H31" s="87"/>
      <c r="I31" s="87"/>
      <c r="J31" s="87"/>
      <c r="K31" s="87"/>
      <c r="L31" s="87"/>
      <c r="M31" s="87"/>
    </row>
    <row r="32" spans="2:13">
      <c r="B32" s="90" t="s">
        <v>126</v>
      </c>
      <c r="C32" s="91" t="s">
        <v>127</v>
      </c>
      <c r="D32" s="96"/>
      <c r="E32" s="87"/>
      <c r="F32" s="87"/>
      <c r="G32" s="87"/>
      <c r="H32" s="87"/>
      <c r="I32" s="87"/>
      <c r="J32" s="87"/>
      <c r="K32" s="87"/>
      <c r="L32" s="87"/>
      <c r="M32" s="87"/>
    </row>
    <row r="33" spans="2:13">
      <c r="B33" s="90"/>
      <c r="C33" s="91" t="s">
        <v>128</v>
      </c>
      <c r="D33" s="96"/>
      <c r="E33" s="87"/>
      <c r="F33" s="87"/>
      <c r="G33" s="87"/>
      <c r="H33" s="87"/>
      <c r="I33" s="87"/>
      <c r="J33" s="87"/>
      <c r="K33" s="87"/>
      <c r="L33" s="87"/>
      <c r="M33" s="87"/>
    </row>
    <row r="34" spans="2:13">
      <c r="B34" s="90"/>
      <c r="C34" s="91"/>
      <c r="D34" s="96"/>
      <c r="E34" s="87"/>
      <c r="F34" s="87"/>
      <c r="G34" s="87"/>
      <c r="H34" s="87"/>
      <c r="I34" s="87"/>
      <c r="J34" s="87"/>
      <c r="K34" s="87"/>
      <c r="L34" s="87"/>
      <c r="M34" s="87"/>
    </row>
    <row r="35" spans="2:13">
      <c r="D35" s="97"/>
    </row>
    <row r="36" spans="2:13">
      <c r="D36" s="97"/>
    </row>
    <row r="37" spans="2:13">
      <c r="D37" s="97"/>
    </row>
    <row r="38" spans="2:13">
      <c r="D38" s="97"/>
    </row>
  </sheetData>
  <protectedRanges>
    <protectedRange sqref="C3:L34" name="ช่วง1"/>
  </protectedRanges>
  <mergeCells count="1">
    <mergeCell ref="C2:M2"/>
  </mergeCells>
  <printOptions horizontalCentered="1"/>
  <pageMargins left="0.511811023622047" right="0" top="0.39370078740157499" bottom="0" header="0.31496062992126" footer="0.31496062992126"/>
  <pageSetup paperSize="9" scale="94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34"/>
  <sheetViews>
    <sheetView view="pageBreakPreview" zoomScaleNormal="100" zoomScaleSheetLayoutView="100" workbookViewId="0">
      <selection activeCell="B2" sqref="B2:I2"/>
    </sheetView>
  </sheetViews>
  <sheetFormatPr defaultColWidth="9" defaultRowHeight="21"/>
  <cols>
    <col min="1" max="1" width="10.5703125" style="1" customWidth="1"/>
    <col min="2" max="2" width="3.85546875" style="16" customWidth="1"/>
    <col min="3" max="3" width="3.7109375" style="16" customWidth="1"/>
    <col min="4" max="4" width="4.42578125" style="16" customWidth="1"/>
    <col min="5" max="5" width="3.7109375" style="16" customWidth="1"/>
    <col min="6" max="6" width="4.42578125" style="16" customWidth="1"/>
    <col min="7" max="7" width="5.85546875" style="16" customWidth="1"/>
    <col min="8" max="8" width="9" style="16"/>
    <col min="9" max="9" width="12.42578125" style="16" customWidth="1"/>
    <col min="10" max="10" width="22" style="16" customWidth="1"/>
    <col min="11" max="11" width="1.85546875" style="16" customWidth="1"/>
    <col min="12" max="12" width="3.28515625" style="16" customWidth="1"/>
    <col min="13" max="13" width="9" style="91"/>
    <col min="14" max="16384" width="9" style="1"/>
  </cols>
  <sheetData>
    <row r="1" spans="2:12" ht="23.25">
      <c r="B1" s="91"/>
      <c r="C1" s="91"/>
      <c r="D1" s="91"/>
      <c r="E1" s="91"/>
      <c r="F1" s="91"/>
      <c r="G1" s="91"/>
      <c r="H1" s="91"/>
      <c r="I1" s="91"/>
      <c r="J1" s="91"/>
      <c r="L1" s="88"/>
    </row>
    <row r="2" spans="2:12">
      <c r="B2" s="90" t="s">
        <v>129</v>
      </c>
      <c r="C2" s="91" t="s">
        <v>130</v>
      </c>
      <c r="D2" s="91"/>
      <c r="E2" s="91"/>
      <c r="F2" s="91"/>
      <c r="G2" s="91"/>
      <c r="H2" s="91"/>
      <c r="I2" s="91"/>
      <c r="J2" s="91"/>
      <c r="K2" s="91"/>
      <c r="L2" s="91"/>
    </row>
    <row r="3" spans="2:1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2:12">
      <c r="B4" s="91"/>
      <c r="C4" s="91"/>
      <c r="D4" s="91"/>
      <c r="E4" s="210" t="s">
        <v>19</v>
      </c>
      <c r="F4" s="211"/>
      <c r="G4" s="212"/>
      <c r="H4" s="210" t="s">
        <v>131</v>
      </c>
      <c r="I4" s="212"/>
      <c r="J4" s="98" t="s">
        <v>132</v>
      </c>
      <c r="K4" s="162"/>
      <c r="L4" s="162"/>
    </row>
    <row r="5" spans="2:12">
      <c r="B5" s="91"/>
      <c r="C5" s="91"/>
      <c r="D5" s="91"/>
      <c r="E5" s="213">
        <v>4</v>
      </c>
      <c r="F5" s="214"/>
      <c r="G5" s="215"/>
      <c r="H5" s="213" t="s">
        <v>133</v>
      </c>
      <c r="I5" s="215"/>
      <c r="J5" s="99" t="s">
        <v>134</v>
      </c>
      <c r="K5" s="162"/>
      <c r="L5" s="162"/>
    </row>
    <row r="6" spans="2:12">
      <c r="B6" s="91"/>
      <c r="C6" s="91"/>
      <c r="D6" s="91"/>
      <c r="E6" s="216">
        <v>3.5</v>
      </c>
      <c r="F6" s="217"/>
      <c r="G6" s="218"/>
      <c r="H6" s="216" t="s">
        <v>135</v>
      </c>
      <c r="I6" s="218"/>
      <c r="J6" s="100" t="s">
        <v>136</v>
      </c>
      <c r="K6" s="162"/>
      <c r="L6" s="162"/>
    </row>
    <row r="7" spans="2:12">
      <c r="B7" s="91"/>
      <c r="C7" s="91"/>
      <c r="D7" s="91"/>
      <c r="E7" s="216">
        <v>3</v>
      </c>
      <c r="F7" s="217"/>
      <c r="G7" s="218"/>
      <c r="H7" s="216" t="s">
        <v>137</v>
      </c>
      <c r="I7" s="218"/>
      <c r="J7" s="100" t="s">
        <v>138</v>
      </c>
      <c r="K7" s="162"/>
      <c r="L7" s="162"/>
    </row>
    <row r="8" spans="2:12">
      <c r="B8" s="91"/>
      <c r="C8" s="91"/>
      <c r="D8" s="91"/>
      <c r="E8" s="216">
        <v>2.5</v>
      </c>
      <c r="F8" s="217"/>
      <c r="G8" s="218"/>
      <c r="H8" s="216" t="s">
        <v>139</v>
      </c>
      <c r="I8" s="218"/>
      <c r="J8" s="100" t="s">
        <v>140</v>
      </c>
      <c r="K8" s="162"/>
      <c r="L8" s="162"/>
    </row>
    <row r="9" spans="2:12">
      <c r="B9" s="91"/>
      <c r="C9" s="91"/>
      <c r="D9" s="91"/>
      <c r="E9" s="216">
        <v>2</v>
      </c>
      <c r="F9" s="217"/>
      <c r="G9" s="218"/>
      <c r="H9" s="216" t="s">
        <v>141</v>
      </c>
      <c r="I9" s="218"/>
      <c r="J9" s="100" t="s">
        <v>142</v>
      </c>
      <c r="K9" s="162"/>
      <c r="L9" s="162"/>
    </row>
    <row r="10" spans="2:12">
      <c r="B10" s="91"/>
      <c r="C10" s="91"/>
      <c r="D10" s="91"/>
      <c r="E10" s="216">
        <v>1.5</v>
      </c>
      <c r="F10" s="217"/>
      <c r="G10" s="218"/>
      <c r="H10" s="216" t="s">
        <v>143</v>
      </c>
      <c r="I10" s="218"/>
      <c r="J10" s="100" t="s">
        <v>144</v>
      </c>
      <c r="K10" s="162"/>
      <c r="L10" s="162"/>
    </row>
    <row r="11" spans="2:12">
      <c r="B11" s="91"/>
      <c r="C11" s="91"/>
      <c r="D11" s="91"/>
      <c r="E11" s="216">
        <v>1</v>
      </c>
      <c r="F11" s="217"/>
      <c r="G11" s="218"/>
      <c r="H11" s="216" t="s">
        <v>145</v>
      </c>
      <c r="I11" s="218"/>
      <c r="J11" s="100" t="s">
        <v>146</v>
      </c>
      <c r="K11" s="162"/>
      <c r="L11" s="162"/>
    </row>
    <row r="12" spans="2:12">
      <c r="B12" s="91"/>
      <c r="C12" s="91"/>
      <c r="D12" s="91"/>
      <c r="E12" s="219">
        <v>0</v>
      </c>
      <c r="F12" s="220"/>
      <c r="G12" s="221"/>
      <c r="H12" s="219" t="s">
        <v>147</v>
      </c>
      <c r="I12" s="221"/>
      <c r="J12" s="101" t="s">
        <v>148</v>
      </c>
      <c r="K12" s="162"/>
      <c r="L12" s="162"/>
    </row>
    <row r="13" spans="2:12"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</row>
    <row r="14" spans="2:12">
      <c r="B14" s="89" t="s">
        <v>149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</row>
    <row r="15" spans="2:12">
      <c r="B15" s="90" t="s">
        <v>88</v>
      </c>
      <c r="C15" s="91" t="s">
        <v>150</v>
      </c>
      <c r="D15" s="91"/>
      <c r="E15" s="91"/>
      <c r="F15" s="91"/>
      <c r="G15" s="91"/>
      <c r="H15" s="91"/>
      <c r="I15" s="91"/>
      <c r="J15" s="91"/>
      <c r="K15" s="91"/>
      <c r="L15" s="91"/>
    </row>
    <row r="16" spans="2:12">
      <c r="B16" s="90"/>
      <c r="C16" s="91" t="s">
        <v>151</v>
      </c>
      <c r="D16" s="91"/>
      <c r="E16" s="91"/>
      <c r="F16" s="91"/>
      <c r="G16" s="91"/>
      <c r="H16" s="91"/>
      <c r="I16" s="91"/>
      <c r="J16" s="91"/>
      <c r="K16" s="91"/>
      <c r="L16" s="91"/>
    </row>
    <row r="17" spans="2:12">
      <c r="B17" s="90" t="s">
        <v>90</v>
      </c>
      <c r="C17" s="91">
        <v>13</v>
      </c>
      <c r="D17" s="91"/>
      <c r="E17" s="91"/>
      <c r="F17" s="91"/>
      <c r="G17" s="91"/>
      <c r="H17" s="91"/>
      <c r="I17" s="91"/>
      <c r="J17" s="91"/>
      <c r="K17" s="91"/>
      <c r="L17" s="93"/>
    </row>
    <row r="18" spans="2:12">
      <c r="B18" s="90" t="s">
        <v>92</v>
      </c>
      <c r="C18" s="91" t="s">
        <v>152</v>
      </c>
      <c r="D18" s="91"/>
      <c r="E18" s="91"/>
      <c r="F18" s="91"/>
      <c r="G18" s="91"/>
      <c r="H18" s="91"/>
      <c r="I18" s="91"/>
      <c r="J18" s="91"/>
      <c r="K18" s="91"/>
      <c r="L18" s="91"/>
    </row>
    <row r="19" spans="2:12">
      <c r="B19" s="90" t="s">
        <v>94</v>
      </c>
      <c r="C19" s="91" t="s">
        <v>153</v>
      </c>
      <c r="D19" s="91"/>
      <c r="E19" s="91"/>
      <c r="F19" s="91"/>
      <c r="G19" s="91"/>
      <c r="H19" s="91"/>
      <c r="I19" s="91"/>
      <c r="J19" s="91"/>
      <c r="K19" s="91"/>
      <c r="L19" s="91"/>
    </row>
    <row r="20" spans="2:12">
      <c r="B20" s="91"/>
      <c r="C20" s="91"/>
      <c r="D20" s="91">
        <v>70</v>
      </c>
      <c r="E20" s="162" t="s">
        <v>154</v>
      </c>
      <c r="F20" s="91">
        <v>80</v>
      </c>
      <c r="G20" s="162" t="s">
        <v>155</v>
      </c>
      <c r="H20" s="91" t="s">
        <v>156</v>
      </c>
      <c r="I20" s="91"/>
      <c r="J20" s="91"/>
      <c r="K20" s="91"/>
      <c r="L20" s="91"/>
    </row>
    <row r="21" spans="2:12">
      <c r="B21" s="91"/>
      <c r="C21" s="91"/>
      <c r="D21" s="91">
        <v>60</v>
      </c>
      <c r="E21" s="162" t="s">
        <v>154</v>
      </c>
      <c r="F21" s="91">
        <v>69</v>
      </c>
      <c r="G21" s="162" t="s">
        <v>155</v>
      </c>
      <c r="H21" s="91" t="s">
        <v>157</v>
      </c>
      <c r="I21" s="91"/>
      <c r="J21" s="91"/>
      <c r="K21" s="91"/>
      <c r="L21" s="91"/>
    </row>
    <row r="22" spans="2:12">
      <c r="B22" s="91"/>
      <c r="C22" s="91"/>
      <c r="D22" s="91">
        <v>50</v>
      </c>
      <c r="E22" s="162" t="s">
        <v>154</v>
      </c>
      <c r="F22" s="91">
        <v>59</v>
      </c>
      <c r="G22" s="162" t="s">
        <v>155</v>
      </c>
      <c r="H22" s="91" t="s">
        <v>158</v>
      </c>
      <c r="I22" s="91"/>
      <c r="J22" s="91"/>
      <c r="K22" s="91"/>
      <c r="L22" s="91"/>
    </row>
    <row r="23" spans="2:12"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</row>
    <row r="24" spans="2:12">
      <c r="B24" s="89" t="s">
        <v>159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</row>
    <row r="25" spans="2:12">
      <c r="B25" s="90" t="s">
        <v>88</v>
      </c>
      <c r="C25" s="91" t="s">
        <v>160</v>
      </c>
      <c r="D25" s="91"/>
      <c r="E25" s="91"/>
      <c r="F25" s="91"/>
      <c r="G25" s="91"/>
      <c r="H25" s="91"/>
      <c r="I25" s="91"/>
      <c r="J25" s="91"/>
      <c r="K25" s="91"/>
      <c r="L25" s="91"/>
    </row>
    <row r="26" spans="2:12">
      <c r="B26" s="90"/>
      <c r="C26" s="91" t="s">
        <v>161</v>
      </c>
      <c r="D26" s="91"/>
      <c r="E26" s="91"/>
      <c r="F26" s="91"/>
      <c r="G26" s="91"/>
      <c r="H26" s="91"/>
      <c r="I26" s="91"/>
      <c r="J26" s="91"/>
      <c r="K26" s="91"/>
      <c r="L26" s="91"/>
    </row>
    <row r="27" spans="2:12">
      <c r="B27" s="90" t="s">
        <v>90</v>
      </c>
      <c r="C27" s="91" t="s">
        <v>162</v>
      </c>
      <c r="D27" s="91"/>
      <c r="E27" s="91"/>
      <c r="F27" s="91"/>
      <c r="G27" s="91"/>
      <c r="H27" s="91"/>
      <c r="I27" s="91"/>
      <c r="J27" s="91"/>
      <c r="K27" s="91"/>
      <c r="L27" s="91"/>
    </row>
    <row r="28" spans="2:12">
      <c r="B28" s="90"/>
      <c r="C28" s="91" t="s">
        <v>163</v>
      </c>
      <c r="D28" s="91"/>
      <c r="E28" s="91"/>
      <c r="F28" s="91"/>
      <c r="G28" s="93"/>
      <c r="H28" s="91"/>
      <c r="I28" s="91"/>
      <c r="J28" s="91"/>
      <c r="K28" s="91"/>
      <c r="L28" s="91"/>
    </row>
    <row r="29" spans="2:12">
      <c r="B29" s="90" t="s">
        <v>92</v>
      </c>
      <c r="C29" s="91" t="s">
        <v>164</v>
      </c>
      <c r="D29" s="91"/>
      <c r="E29" s="91"/>
      <c r="F29" s="91"/>
      <c r="G29" s="91"/>
      <c r="H29" s="91"/>
      <c r="I29" s="91"/>
      <c r="J29" s="91"/>
      <c r="K29" s="91"/>
      <c r="L29" s="91"/>
    </row>
    <row r="30" spans="2:12">
      <c r="B30" s="90" t="s">
        <v>94</v>
      </c>
      <c r="C30" s="91" t="s">
        <v>165</v>
      </c>
      <c r="D30" s="91"/>
      <c r="E30" s="91"/>
      <c r="F30" s="91"/>
      <c r="G30" s="91"/>
      <c r="H30" s="91"/>
      <c r="I30" s="91"/>
      <c r="J30" s="91"/>
      <c r="K30" s="91"/>
      <c r="L30" s="91"/>
    </row>
    <row r="31" spans="2:12">
      <c r="B31" s="91"/>
      <c r="C31" s="91"/>
      <c r="D31" s="91">
        <v>90</v>
      </c>
      <c r="E31" s="162" t="s">
        <v>154</v>
      </c>
      <c r="F31" s="91">
        <v>100</v>
      </c>
      <c r="G31" s="162" t="s">
        <v>155</v>
      </c>
      <c r="H31" s="91" t="s">
        <v>156</v>
      </c>
      <c r="I31" s="91"/>
      <c r="J31" s="91"/>
      <c r="K31" s="91"/>
      <c r="L31" s="91"/>
    </row>
    <row r="32" spans="2:12">
      <c r="B32" s="91"/>
      <c r="C32" s="91"/>
      <c r="D32" s="91">
        <v>80</v>
      </c>
      <c r="E32" s="162" t="s">
        <v>154</v>
      </c>
      <c r="F32" s="91">
        <v>89</v>
      </c>
      <c r="G32" s="162" t="s">
        <v>155</v>
      </c>
      <c r="H32" s="91" t="s">
        <v>157</v>
      </c>
      <c r="I32" s="91"/>
      <c r="J32" s="91"/>
      <c r="K32" s="91"/>
      <c r="L32" s="91"/>
    </row>
    <row r="33" spans="2:12">
      <c r="B33" s="91"/>
      <c r="C33" s="91"/>
      <c r="D33" s="91">
        <v>70</v>
      </c>
      <c r="E33" s="162" t="s">
        <v>154</v>
      </c>
      <c r="F33" s="91">
        <v>79</v>
      </c>
      <c r="G33" s="162" t="s">
        <v>155</v>
      </c>
      <c r="H33" s="91" t="s">
        <v>158</v>
      </c>
      <c r="I33" s="91"/>
      <c r="J33" s="91"/>
      <c r="K33" s="91"/>
      <c r="L33" s="91"/>
    </row>
    <row r="34" spans="2:12"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</row>
  </sheetData>
  <protectedRanges>
    <protectedRange sqref="B2:J19 B24:E30 G24 H24:L30" name="ช่วง1"/>
  </protectedRanges>
  <mergeCells count="18">
    <mergeCell ref="E10:G10"/>
    <mergeCell ref="H10:I10"/>
    <mergeCell ref="E11:G11"/>
    <mergeCell ref="H11:I11"/>
    <mergeCell ref="E12:G12"/>
    <mergeCell ref="H12:I12"/>
    <mergeCell ref="E7:G7"/>
    <mergeCell ref="H7:I7"/>
    <mergeCell ref="E8:G8"/>
    <mergeCell ref="H8:I8"/>
    <mergeCell ref="E9:G9"/>
    <mergeCell ref="H9:I9"/>
    <mergeCell ref="E4:G4"/>
    <mergeCell ref="H4:I4"/>
    <mergeCell ref="E5:G5"/>
    <mergeCell ref="H5:I5"/>
    <mergeCell ref="E6:G6"/>
    <mergeCell ref="H6:I6"/>
  </mergeCells>
  <printOptions horizontalCentered="1"/>
  <pageMargins left="0" right="0.51181102362204722" top="0.39370078740157483" bottom="0" header="0.31496062992125984" footer="0.31496062992125984"/>
  <pageSetup paperSize="9" scale="95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E21"/>
  <sheetViews>
    <sheetView view="pageBreakPreview" topLeftCell="A9" zoomScaleNormal="100" zoomScaleSheetLayoutView="100" workbookViewId="0">
      <selection activeCell="D18" sqref="D18"/>
    </sheetView>
  </sheetViews>
  <sheetFormatPr defaultColWidth="9" defaultRowHeight="15"/>
  <cols>
    <col min="1" max="1" width="0.42578125" style="1" customWidth="1"/>
    <col min="2" max="2" width="3" style="1" customWidth="1"/>
    <col min="3" max="3" width="5.5703125" style="1" customWidth="1"/>
    <col min="4" max="4" width="18.7109375" style="1" customWidth="1"/>
    <col min="5" max="5" width="24.42578125" style="1" customWidth="1"/>
    <col min="6" max="6" width="5.5703125" style="1" customWidth="1"/>
    <col min="7" max="30" width="1.7109375" style="1" customWidth="1"/>
    <col min="31" max="16384" width="9" style="1"/>
  </cols>
  <sheetData>
    <row r="1" spans="2:31" s="4" customFormat="1" ht="21">
      <c r="B1" s="225" t="s">
        <v>56</v>
      </c>
      <c r="C1" s="225" t="s">
        <v>57</v>
      </c>
      <c r="D1" s="227" t="s">
        <v>166</v>
      </c>
      <c r="E1" s="226" t="s">
        <v>59</v>
      </c>
      <c r="F1" s="117" t="s">
        <v>167</v>
      </c>
      <c r="G1" s="208">
        <v>1</v>
      </c>
      <c r="H1" s="208"/>
      <c r="I1" s="208"/>
      <c r="J1" s="208">
        <v>2</v>
      </c>
      <c r="K1" s="208"/>
      <c r="L1" s="208"/>
      <c r="M1" s="208"/>
      <c r="N1" s="208"/>
      <c r="O1" s="208"/>
      <c r="P1" s="208"/>
      <c r="Q1" s="208">
        <v>3</v>
      </c>
      <c r="R1" s="208"/>
      <c r="S1" s="208"/>
      <c r="T1" s="208"/>
      <c r="U1" s="208"/>
      <c r="V1" s="208"/>
      <c r="W1" s="208"/>
      <c r="X1" s="208">
        <v>4</v>
      </c>
      <c r="Y1" s="208"/>
      <c r="Z1" s="208"/>
      <c r="AA1" s="208"/>
      <c r="AB1" s="208"/>
      <c r="AC1" s="208"/>
      <c r="AD1" s="208"/>
      <c r="AE1" s="3"/>
    </row>
    <row r="2" spans="2:31" s="4" customFormat="1" ht="18.75">
      <c r="B2" s="225"/>
      <c r="C2" s="225"/>
      <c r="D2" s="226"/>
      <c r="E2" s="226"/>
      <c r="F2" s="117" t="s">
        <v>53</v>
      </c>
      <c r="G2" s="222" t="s">
        <v>168</v>
      </c>
      <c r="H2" s="222"/>
      <c r="I2" s="222"/>
      <c r="J2" s="222" t="s">
        <v>168</v>
      </c>
      <c r="K2" s="222"/>
      <c r="L2" s="222"/>
      <c r="M2" s="222"/>
      <c r="N2" s="222"/>
      <c r="O2" s="222"/>
      <c r="P2" s="222"/>
      <c r="Q2" s="222" t="s">
        <v>169</v>
      </c>
      <c r="R2" s="222"/>
      <c r="S2" s="222"/>
      <c r="T2" s="222"/>
      <c r="U2" s="222"/>
      <c r="V2" s="222"/>
      <c r="W2" s="222"/>
      <c r="X2" s="222" t="s">
        <v>170</v>
      </c>
      <c r="Y2" s="222"/>
      <c r="Z2" s="222"/>
      <c r="AA2" s="222"/>
      <c r="AB2" s="222"/>
      <c r="AC2" s="222"/>
      <c r="AD2" s="222"/>
      <c r="AE2" s="3"/>
    </row>
    <row r="3" spans="2:31" s="4" customFormat="1" ht="17.25">
      <c r="B3" s="225"/>
      <c r="C3" s="225"/>
      <c r="D3" s="226"/>
      <c r="E3" s="226"/>
      <c r="F3" s="117" t="s">
        <v>52</v>
      </c>
      <c r="G3" s="33" t="s">
        <v>171</v>
      </c>
      <c r="H3" s="68" t="s">
        <v>172</v>
      </c>
      <c r="I3" s="68" t="s">
        <v>173</v>
      </c>
      <c r="J3" s="33" t="s">
        <v>174</v>
      </c>
      <c r="K3" s="33" t="s">
        <v>175</v>
      </c>
      <c r="L3" s="66" t="s">
        <v>176</v>
      </c>
      <c r="M3" s="33" t="s">
        <v>177</v>
      </c>
      <c r="N3" s="33" t="s">
        <v>178</v>
      </c>
      <c r="O3" s="68" t="s">
        <v>179</v>
      </c>
      <c r="P3" s="68" t="s">
        <v>180</v>
      </c>
      <c r="Q3" s="21" t="s">
        <v>181</v>
      </c>
      <c r="R3" s="33" t="s">
        <v>182</v>
      </c>
      <c r="S3" s="33" t="s">
        <v>183</v>
      </c>
      <c r="T3" s="33" t="s">
        <v>184</v>
      </c>
      <c r="U3" s="66" t="s">
        <v>185</v>
      </c>
      <c r="V3" s="68" t="s">
        <v>186</v>
      </c>
      <c r="W3" s="68" t="s">
        <v>187</v>
      </c>
      <c r="X3" s="69" t="s">
        <v>188</v>
      </c>
      <c r="Y3" s="145" t="s">
        <v>189</v>
      </c>
      <c r="Z3" s="33" t="s">
        <v>190</v>
      </c>
      <c r="AA3" s="33" t="s">
        <v>191</v>
      </c>
      <c r="AB3" s="33" t="s">
        <v>192</v>
      </c>
      <c r="AC3" s="68" t="s">
        <v>193</v>
      </c>
      <c r="AD3" s="68" t="s">
        <v>194</v>
      </c>
      <c r="AE3" s="3"/>
    </row>
    <row r="4" spans="2:31" s="4" customFormat="1" ht="17.25">
      <c r="B4" s="225"/>
      <c r="C4" s="225"/>
      <c r="D4" s="226"/>
      <c r="E4" s="226"/>
      <c r="F4" s="117" t="s">
        <v>195</v>
      </c>
      <c r="G4" s="21" t="s">
        <v>196</v>
      </c>
      <c r="H4" s="69" t="s">
        <v>197</v>
      </c>
      <c r="I4" s="69" t="s">
        <v>198</v>
      </c>
      <c r="J4" s="21" t="s">
        <v>199</v>
      </c>
      <c r="K4" s="21" t="s">
        <v>200</v>
      </c>
      <c r="L4" s="67" t="s">
        <v>201</v>
      </c>
      <c r="M4" s="21" t="s">
        <v>202</v>
      </c>
      <c r="N4" s="21" t="s">
        <v>196</v>
      </c>
      <c r="O4" s="69" t="s">
        <v>197</v>
      </c>
      <c r="P4" s="69" t="s">
        <v>198</v>
      </c>
      <c r="Q4" s="67" t="s">
        <v>199</v>
      </c>
      <c r="R4" s="67" t="s">
        <v>200</v>
      </c>
      <c r="S4" s="67" t="s">
        <v>201</v>
      </c>
      <c r="T4" s="67" t="s">
        <v>202</v>
      </c>
      <c r="U4" s="67" t="s">
        <v>196</v>
      </c>
      <c r="V4" s="69" t="s">
        <v>197</v>
      </c>
      <c r="W4" s="69" t="s">
        <v>198</v>
      </c>
      <c r="X4" s="69" t="s">
        <v>199</v>
      </c>
      <c r="Y4" s="143" t="s">
        <v>200</v>
      </c>
      <c r="Z4" s="21" t="s">
        <v>201</v>
      </c>
      <c r="AA4" s="21" t="s">
        <v>202</v>
      </c>
      <c r="AB4" s="21" t="s">
        <v>196</v>
      </c>
      <c r="AC4" s="69" t="s">
        <v>197</v>
      </c>
      <c r="AD4" s="69" t="s">
        <v>198</v>
      </c>
      <c r="AE4" s="3"/>
    </row>
    <row r="5" spans="2:31" s="116" customFormat="1" ht="21">
      <c r="B5" s="135">
        <v>1</v>
      </c>
      <c r="C5" s="121">
        <v>1743</v>
      </c>
      <c r="D5" s="153">
        <f>ข้อมูลเด็ก!E6</f>
        <v>1240600385503</v>
      </c>
      <c r="E5" s="136" t="str">
        <f>ข้อมูลเด็ก!F6</f>
        <v>เด็กชายปัณณวิชญ์   เปรียงพรม</v>
      </c>
      <c r="F5" s="138"/>
      <c r="G5" s="139" t="s">
        <v>203</v>
      </c>
      <c r="H5" s="140"/>
      <c r="I5" s="140"/>
      <c r="J5" s="139" t="s">
        <v>203</v>
      </c>
      <c r="K5" s="139" t="s">
        <v>203</v>
      </c>
      <c r="L5" s="139" t="s">
        <v>203</v>
      </c>
      <c r="M5" s="139" t="s">
        <v>203</v>
      </c>
      <c r="N5" s="139" t="s">
        <v>203</v>
      </c>
      <c r="O5" s="140"/>
      <c r="P5" s="140"/>
      <c r="Q5" s="139" t="s">
        <v>203</v>
      </c>
      <c r="R5" s="139" t="s">
        <v>203</v>
      </c>
      <c r="S5" s="139" t="s">
        <v>203</v>
      </c>
      <c r="T5" s="139" t="s">
        <v>203</v>
      </c>
      <c r="U5" s="139" t="s">
        <v>203</v>
      </c>
      <c r="V5" s="140"/>
      <c r="W5" s="140"/>
      <c r="X5" s="141"/>
      <c r="Y5" s="144"/>
      <c r="Z5" s="139" t="s">
        <v>203</v>
      </c>
      <c r="AA5" s="139" t="s">
        <v>203</v>
      </c>
      <c r="AB5" s="139" t="s">
        <v>203</v>
      </c>
      <c r="AC5" s="140"/>
      <c r="AD5" s="140"/>
      <c r="AE5" s="6"/>
    </row>
    <row r="6" spans="2:31" s="116" customFormat="1" ht="21">
      <c r="B6" s="135">
        <v>2</v>
      </c>
      <c r="C6" s="121">
        <v>1744</v>
      </c>
      <c r="D6" s="153">
        <f>ข้อมูลเด็ก!E7</f>
        <v>1459700117035</v>
      </c>
      <c r="E6" s="136" t="str">
        <f>ข้อมูลเด็ก!F7</f>
        <v>เด็กชายรัชชานนท์  เทียมกลาง</v>
      </c>
      <c r="F6" s="138"/>
      <c r="G6" s="139" t="s">
        <v>203</v>
      </c>
      <c r="H6" s="140"/>
      <c r="I6" s="140"/>
      <c r="J6" s="139" t="s">
        <v>203</v>
      </c>
      <c r="K6" s="139" t="s">
        <v>203</v>
      </c>
      <c r="L6" s="139" t="s">
        <v>203</v>
      </c>
      <c r="M6" s="139" t="s">
        <v>203</v>
      </c>
      <c r="N6" s="139" t="s">
        <v>203</v>
      </c>
      <c r="O6" s="140"/>
      <c r="P6" s="140"/>
      <c r="Q6" s="139" t="s">
        <v>203</v>
      </c>
      <c r="R6" s="139" t="s">
        <v>203</v>
      </c>
      <c r="S6" s="139" t="s">
        <v>203</v>
      </c>
      <c r="T6" s="139" t="s">
        <v>203</v>
      </c>
      <c r="U6" s="139" t="s">
        <v>203</v>
      </c>
      <c r="V6" s="140"/>
      <c r="W6" s="140"/>
      <c r="X6" s="141"/>
      <c r="Y6" s="144"/>
      <c r="Z6" s="139" t="s">
        <v>203</v>
      </c>
      <c r="AA6" s="139" t="s">
        <v>203</v>
      </c>
      <c r="AB6" s="139" t="s">
        <v>203</v>
      </c>
      <c r="AC6" s="140"/>
      <c r="AD6" s="140"/>
      <c r="AE6" s="6"/>
    </row>
    <row r="7" spans="2:31" s="116" customFormat="1" ht="21">
      <c r="B7" s="135">
        <v>3</v>
      </c>
      <c r="C7" s="121">
        <v>1745</v>
      </c>
      <c r="D7" s="153">
        <f>ข้อมูลเด็ก!E8</f>
        <v>1100401866090</v>
      </c>
      <c r="E7" s="136" t="str">
        <f>ข้อมูลเด็ก!F8</f>
        <v>เด็กชายรณกฤต  สองเมือง</v>
      </c>
      <c r="F7" s="138"/>
      <c r="G7" s="139" t="s">
        <v>203</v>
      </c>
      <c r="H7" s="140"/>
      <c r="I7" s="140"/>
      <c r="J7" s="139" t="s">
        <v>203</v>
      </c>
      <c r="K7" s="139" t="s">
        <v>203</v>
      </c>
      <c r="L7" s="139" t="s">
        <v>203</v>
      </c>
      <c r="M7" s="139" t="s">
        <v>203</v>
      </c>
      <c r="N7" s="139" t="s">
        <v>203</v>
      </c>
      <c r="O7" s="140"/>
      <c r="P7" s="140"/>
      <c r="Q7" s="139" t="s">
        <v>203</v>
      </c>
      <c r="R7" s="139" t="s">
        <v>203</v>
      </c>
      <c r="S7" s="139" t="s">
        <v>203</v>
      </c>
      <c r="T7" s="139" t="s">
        <v>203</v>
      </c>
      <c r="U7" s="139" t="s">
        <v>203</v>
      </c>
      <c r="V7" s="140"/>
      <c r="W7" s="140"/>
      <c r="X7" s="141"/>
      <c r="Y7" s="144"/>
      <c r="Z7" s="139" t="s">
        <v>203</v>
      </c>
      <c r="AA7" s="139" t="s">
        <v>203</v>
      </c>
      <c r="AB7" s="139" t="s">
        <v>203</v>
      </c>
      <c r="AC7" s="140"/>
      <c r="AD7" s="140"/>
      <c r="AE7" s="6"/>
    </row>
    <row r="8" spans="2:31" s="116" customFormat="1" ht="21">
      <c r="B8" s="135">
        <v>4</v>
      </c>
      <c r="C8" s="121">
        <v>1746</v>
      </c>
      <c r="D8" s="153">
        <f>ข้อมูลเด็ก!E9</f>
        <v>1459700121172</v>
      </c>
      <c r="E8" s="136" t="str">
        <f>ข้อมูลเด็ก!F9</f>
        <v>เด็กหญิงกรรณิการ์  คงสุดี</v>
      </c>
      <c r="F8" s="138"/>
      <c r="G8" s="139" t="s">
        <v>203</v>
      </c>
      <c r="H8" s="140"/>
      <c r="I8" s="140"/>
      <c r="J8" s="139" t="s">
        <v>203</v>
      </c>
      <c r="K8" s="139" t="s">
        <v>203</v>
      </c>
      <c r="L8" s="139" t="s">
        <v>203</v>
      </c>
      <c r="M8" s="139" t="s">
        <v>203</v>
      </c>
      <c r="N8" s="139" t="s">
        <v>203</v>
      </c>
      <c r="O8" s="140"/>
      <c r="P8" s="140"/>
      <c r="Q8" s="139" t="s">
        <v>203</v>
      </c>
      <c r="R8" s="139" t="s">
        <v>203</v>
      </c>
      <c r="S8" s="139" t="s">
        <v>203</v>
      </c>
      <c r="T8" s="139" t="s">
        <v>203</v>
      </c>
      <c r="U8" s="139" t="s">
        <v>203</v>
      </c>
      <c r="V8" s="140"/>
      <c r="W8" s="140"/>
      <c r="X8" s="141"/>
      <c r="Y8" s="144"/>
      <c r="Z8" s="139" t="s">
        <v>203</v>
      </c>
      <c r="AA8" s="139" t="s">
        <v>203</v>
      </c>
      <c r="AB8" s="139" t="s">
        <v>203</v>
      </c>
      <c r="AC8" s="140"/>
      <c r="AD8" s="140"/>
      <c r="AE8" s="6"/>
    </row>
    <row r="9" spans="2:31" s="116" customFormat="1" ht="21">
      <c r="B9" s="135">
        <v>5</v>
      </c>
      <c r="C9" s="121">
        <v>1747</v>
      </c>
      <c r="D9" s="153">
        <f>ข้อมูลเด็ก!E10</f>
        <v>1459700118244</v>
      </c>
      <c r="E9" s="136" t="str">
        <f>ข้อมูลเด็ก!F10</f>
        <v>เด็กหญิงชญานิศ  พันธุเมฆ</v>
      </c>
      <c r="F9" s="138"/>
      <c r="G9" s="139" t="s">
        <v>203</v>
      </c>
      <c r="H9" s="140"/>
      <c r="I9" s="140"/>
      <c r="J9" s="139" t="s">
        <v>203</v>
      </c>
      <c r="K9" s="139" t="s">
        <v>203</v>
      </c>
      <c r="L9" s="139" t="s">
        <v>203</v>
      </c>
      <c r="M9" s="139" t="s">
        <v>203</v>
      </c>
      <c r="N9" s="139" t="s">
        <v>203</v>
      </c>
      <c r="O9" s="140"/>
      <c r="P9" s="140"/>
      <c r="Q9" s="139" t="s">
        <v>203</v>
      </c>
      <c r="R9" s="139" t="s">
        <v>203</v>
      </c>
      <c r="S9" s="139" t="s">
        <v>203</v>
      </c>
      <c r="T9" s="139" t="s">
        <v>203</v>
      </c>
      <c r="U9" s="139" t="s">
        <v>203</v>
      </c>
      <c r="V9" s="140"/>
      <c r="W9" s="140"/>
      <c r="X9" s="141"/>
      <c r="Y9" s="144"/>
      <c r="Z9" s="139" t="s">
        <v>203</v>
      </c>
      <c r="AA9" s="139" t="s">
        <v>203</v>
      </c>
      <c r="AB9" s="139" t="s">
        <v>203</v>
      </c>
      <c r="AC9" s="140"/>
      <c r="AD9" s="140"/>
      <c r="AE9" s="6"/>
    </row>
    <row r="10" spans="2:31" s="116" customFormat="1" ht="21">
      <c r="B10" s="135">
        <v>6</v>
      </c>
      <c r="C10" s="121">
        <v>1748</v>
      </c>
      <c r="D10" s="153">
        <f>ข้อมูลเด็ก!E11</f>
        <v>1459700119372</v>
      </c>
      <c r="E10" s="136" t="str">
        <f>ข้อมูลเด็ก!F11</f>
        <v>เด็กหญิงปนัดดา  โพธิสุวรรณ</v>
      </c>
      <c r="F10" s="138"/>
      <c r="G10" s="139" t="s">
        <v>203</v>
      </c>
      <c r="H10" s="140"/>
      <c r="I10" s="140"/>
      <c r="J10" s="139" t="s">
        <v>203</v>
      </c>
      <c r="K10" s="139" t="s">
        <v>203</v>
      </c>
      <c r="L10" s="139" t="s">
        <v>203</v>
      </c>
      <c r="M10" s="139" t="s">
        <v>203</v>
      </c>
      <c r="N10" s="139" t="s">
        <v>203</v>
      </c>
      <c r="O10" s="140"/>
      <c r="P10" s="140"/>
      <c r="Q10" s="139" t="s">
        <v>203</v>
      </c>
      <c r="R10" s="139" t="s">
        <v>203</v>
      </c>
      <c r="S10" s="139" t="s">
        <v>203</v>
      </c>
      <c r="T10" s="139" t="s">
        <v>203</v>
      </c>
      <c r="U10" s="139" t="s">
        <v>203</v>
      </c>
      <c r="V10" s="140"/>
      <c r="W10" s="140"/>
      <c r="X10" s="141"/>
      <c r="Y10" s="144"/>
      <c r="Z10" s="139" t="s">
        <v>203</v>
      </c>
      <c r="AA10" s="139" t="s">
        <v>203</v>
      </c>
      <c r="AB10" s="139" t="s">
        <v>203</v>
      </c>
      <c r="AC10" s="140"/>
      <c r="AD10" s="140"/>
      <c r="AE10" s="6"/>
    </row>
    <row r="11" spans="2:31" s="116" customFormat="1" ht="21">
      <c r="B11" s="135">
        <v>7</v>
      </c>
      <c r="C11" s="121">
        <v>1749</v>
      </c>
      <c r="D11" s="153">
        <f>ข้อมูลเด็ก!E12</f>
        <v>1749901694975</v>
      </c>
      <c r="E11" s="136" t="str">
        <f>ข้อมูลเด็ก!F12</f>
        <v>เด็กหญิงรุ่งนภา  ผดุงภักดี</v>
      </c>
      <c r="F11" s="138"/>
      <c r="G11" s="139" t="s">
        <v>203</v>
      </c>
      <c r="H11" s="140"/>
      <c r="I11" s="140"/>
      <c r="J11" s="139" t="s">
        <v>203</v>
      </c>
      <c r="K11" s="139" t="s">
        <v>203</v>
      </c>
      <c r="L11" s="139" t="s">
        <v>203</v>
      </c>
      <c r="M11" s="139" t="s">
        <v>203</v>
      </c>
      <c r="N11" s="139" t="s">
        <v>203</v>
      </c>
      <c r="O11" s="140"/>
      <c r="P11" s="140"/>
      <c r="Q11" s="139" t="s">
        <v>203</v>
      </c>
      <c r="R11" s="139" t="s">
        <v>203</v>
      </c>
      <c r="S11" s="139" t="s">
        <v>203</v>
      </c>
      <c r="T11" s="139" t="s">
        <v>204</v>
      </c>
      <c r="U11" s="139" t="s">
        <v>203</v>
      </c>
      <c r="V11" s="140"/>
      <c r="W11" s="140"/>
      <c r="X11" s="141"/>
      <c r="Y11" s="144"/>
      <c r="Z11" s="139" t="s">
        <v>203</v>
      </c>
      <c r="AA11" s="139" t="s">
        <v>203</v>
      </c>
      <c r="AB11" s="139" t="s">
        <v>203</v>
      </c>
      <c r="AC11" s="140"/>
      <c r="AD11" s="140"/>
      <c r="AE11" s="6"/>
    </row>
    <row r="12" spans="2:31" s="116" customFormat="1" ht="21">
      <c r="B12" s="135">
        <v>8</v>
      </c>
      <c r="C12" s="121">
        <v>1750</v>
      </c>
      <c r="D12" s="153">
        <f>ข้อมูลเด็ก!E13</f>
        <v>1459901881999</v>
      </c>
      <c r="E12" s="136" t="str">
        <f>ข้อมูลเด็ก!F13</f>
        <v>เด็กหญิงพิมพิ์พิชชา  มะลิมาตย์</v>
      </c>
      <c r="F12" s="138"/>
      <c r="G12" s="139" t="s">
        <v>203</v>
      </c>
      <c r="H12" s="140"/>
      <c r="I12" s="140"/>
      <c r="J12" s="139" t="s">
        <v>203</v>
      </c>
      <c r="K12" s="139" t="s">
        <v>203</v>
      </c>
      <c r="L12" s="139" t="s">
        <v>203</v>
      </c>
      <c r="M12" s="139" t="s">
        <v>203</v>
      </c>
      <c r="N12" s="139" t="s">
        <v>203</v>
      </c>
      <c r="O12" s="140"/>
      <c r="P12" s="140"/>
      <c r="Q12" s="139" t="s">
        <v>203</v>
      </c>
      <c r="R12" s="139" t="s">
        <v>203</v>
      </c>
      <c r="S12" s="139" t="s">
        <v>203</v>
      </c>
      <c r="T12" s="139" t="s">
        <v>203</v>
      </c>
      <c r="U12" s="139" t="s">
        <v>203</v>
      </c>
      <c r="V12" s="140"/>
      <c r="W12" s="140"/>
      <c r="X12" s="141"/>
      <c r="Y12" s="144"/>
      <c r="Z12" s="139" t="s">
        <v>203</v>
      </c>
      <c r="AA12" s="139" t="s">
        <v>203</v>
      </c>
      <c r="AB12" s="139" t="s">
        <v>203</v>
      </c>
      <c r="AC12" s="140"/>
      <c r="AD12" s="140"/>
      <c r="AE12" s="6"/>
    </row>
    <row r="13" spans="2:31" s="116" customFormat="1" ht="21">
      <c r="B13" s="135">
        <v>9</v>
      </c>
      <c r="C13" s="121">
        <v>1751</v>
      </c>
      <c r="D13" s="153">
        <f>ข้อมูลเด็ก!E14</f>
        <v>1459700116861</v>
      </c>
      <c r="E13" s="136" t="str">
        <f>ข้อมูลเด็ก!F14</f>
        <v>เด็กหญิงพิมพ์รดา  เม้าราษี</v>
      </c>
      <c r="F13" s="138"/>
      <c r="G13" s="139" t="s">
        <v>203</v>
      </c>
      <c r="H13" s="140"/>
      <c r="I13" s="140"/>
      <c r="J13" s="139" t="s">
        <v>203</v>
      </c>
      <c r="K13" s="139" t="s">
        <v>203</v>
      </c>
      <c r="L13" s="139" t="s">
        <v>203</v>
      </c>
      <c r="M13" s="139" t="s">
        <v>203</v>
      </c>
      <c r="N13" s="139" t="s">
        <v>203</v>
      </c>
      <c r="O13" s="140"/>
      <c r="P13" s="140"/>
      <c r="Q13" s="139" t="s">
        <v>203</v>
      </c>
      <c r="R13" s="139" t="s">
        <v>203</v>
      </c>
      <c r="S13" s="139" t="s">
        <v>203</v>
      </c>
      <c r="T13" s="139" t="s">
        <v>203</v>
      </c>
      <c r="U13" s="139" t="s">
        <v>203</v>
      </c>
      <c r="V13" s="140"/>
      <c r="W13" s="140"/>
      <c r="X13" s="141"/>
      <c r="Y13" s="144"/>
      <c r="Z13" s="139" t="s">
        <v>203</v>
      </c>
      <c r="AA13" s="139" t="s">
        <v>203</v>
      </c>
      <c r="AB13" s="139" t="s">
        <v>203</v>
      </c>
      <c r="AC13" s="140"/>
      <c r="AD13" s="140"/>
      <c r="AE13" s="6"/>
    </row>
    <row r="14" spans="2:31" s="116" customFormat="1" ht="21">
      <c r="B14" s="135">
        <v>10</v>
      </c>
      <c r="C14" s="149">
        <v>1752</v>
      </c>
      <c r="D14" s="153">
        <f>ข้อมูลเด็ก!E15</f>
        <v>1459700117663</v>
      </c>
      <c r="E14" s="136" t="str">
        <f>ข้อมูลเด็ก!F15</f>
        <v>เด็กหญิงศศิวิมล  ธนูทอง</v>
      </c>
      <c r="F14" s="138"/>
      <c r="G14" s="139" t="s">
        <v>203</v>
      </c>
      <c r="H14" s="140"/>
      <c r="I14" s="140"/>
      <c r="J14" s="139" t="s">
        <v>203</v>
      </c>
      <c r="K14" s="139" t="s">
        <v>203</v>
      </c>
      <c r="L14" s="139" t="s">
        <v>203</v>
      </c>
      <c r="M14" s="139" t="s">
        <v>203</v>
      </c>
      <c r="N14" s="139" t="s">
        <v>203</v>
      </c>
      <c r="O14" s="140"/>
      <c r="P14" s="140"/>
      <c r="Q14" s="139" t="s">
        <v>203</v>
      </c>
      <c r="R14" s="139" t="s">
        <v>203</v>
      </c>
      <c r="S14" s="139" t="s">
        <v>203</v>
      </c>
      <c r="T14" s="139" t="s">
        <v>203</v>
      </c>
      <c r="U14" s="139" t="s">
        <v>203</v>
      </c>
      <c r="V14" s="140"/>
      <c r="W14" s="140"/>
      <c r="X14" s="141"/>
      <c r="Y14" s="144"/>
      <c r="Z14" s="139" t="s">
        <v>203</v>
      </c>
      <c r="AA14" s="139" t="s">
        <v>203</v>
      </c>
      <c r="AB14" s="139" t="s">
        <v>205</v>
      </c>
      <c r="AC14" s="140"/>
      <c r="AD14" s="140"/>
      <c r="AE14" s="6"/>
    </row>
    <row r="15" spans="2:31" s="116" customFormat="1" ht="21">
      <c r="B15" s="135">
        <v>11</v>
      </c>
      <c r="C15" s="121">
        <v>1753</v>
      </c>
      <c r="D15" s="153">
        <f>ข้อมูลเด็ก!E16</f>
        <v>1459901857818</v>
      </c>
      <c r="E15" s="136" t="str">
        <f>ข้อมูลเด็ก!F16</f>
        <v>เด็กชายปัณณวิชญ์   พันธ์เดช</v>
      </c>
      <c r="F15" s="138"/>
      <c r="G15" s="139" t="s">
        <v>203</v>
      </c>
      <c r="H15" s="140"/>
      <c r="I15" s="140"/>
      <c r="J15" s="139" t="s">
        <v>203</v>
      </c>
      <c r="K15" s="139" t="s">
        <v>203</v>
      </c>
      <c r="L15" s="139" t="s">
        <v>203</v>
      </c>
      <c r="M15" s="139" t="s">
        <v>203</v>
      </c>
      <c r="N15" s="139" t="s">
        <v>203</v>
      </c>
      <c r="O15" s="140"/>
      <c r="P15" s="140"/>
      <c r="Q15" s="139" t="s">
        <v>203</v>
      </c>
      <c r="R15" s="139" t="s">
        <v>203</v>
      </c>
      <c r="S15" s="139" t="s">
        <v>203</v>
      </c>
      <c r="T15" s="139" t="s">
        <v>203</v>
      </c>
      <c r="U15" s="139" t="s">
        <v>203</v>
      </c>
      <c r="V15" s="140"/>
      <c r="W15" s="140"/>
      <c r="X15" s="141"/>
      <c r="Y15" s="144"/>
      <c r="Z15" s="139" t="s">
        <v>203</v>
      </c>
      <c r="AA15" s="139" t="s">
        <v>203</v>
      </c>
      <c r="AB15" s="139" t="s">
        <v>203</v>
      </c>
      <c r="AC15" s="140"/>
      <c r="AD15" s="140"/>
      <c r="AE15" s="6"/>
    </row>
    <row r="16" spans="2:31" s="116" customFormat="1" ht="21">
      <c r="B16" s="135">
        <v>12</v>
      </c>
      <c r="C16" s="121">
        <v>1764</v>
      </c>
      <c r="D16" s="153">
        <f>ข้อมูลเด็ก!E17</f>
        <v>1169200155082</v>
      </c>
      <c r="E16" s="136" t="str">
        <f>ข้อมูลเด็ก!F17</f>
        <v>เด็กหญิงสุชาดา  ชมภูนาค</v>
      </c>
      <c r="F16" s="138"/>
      <c r="G16" s="139" t="s">
        <v>203</v>
      </c>
      <c r="H16" s="140"/>
      <c r="I16" s="140"/>
      <c r="J16" s="139" t="s">
        <v>203</v>
      </c>
      <c r="K16" s="139" t="s">
        <v>203</v>
      </c>
      <c r="L16" s="139" t="s">
        <v>203</v>
      </c>
      <c r="M16" s="139" t="s">
        <v>203</v>
      </c>
      <c r="N16" s="139" t="s">
        <v>203</v>
      </c>
      <c r="O16" s="140"/>
      <c r="P16" s="140"/>
      <c r="Q16" s="139" t="s">
        <v>203</v>
      </c>
      <c r="R16" s="139" t="s">
        <v>203</v>
      </c>
      <c r="S16" s="139" t="s">
        <v>203</v>
      </c>
      <c r="T16" s="139" t="s">
        <v>203</v>
      </c>
      <c r="U16" s="139" t="s">
        <v>203</v>
      </c>
      <c r="V16" s="140"/>
      <c r="W16" s="140"/>
      <c r="X16" s="141"/>
      <c r="Y16" s="144"/>
      <c r="Z16" s="139" t="s">
        <v>203</v>
      </c>
      <c r="AA16" s="139" t="s">
        <v>203</v>
      </c>
      <c r="AB16" s="139" t="s">
        <v>203</v>
      </c>
      <c r="AC16" s="140"/>
      <c r="AD16" s="140"/>
      <c r="AE16" s="6"/>
    </row>
    <row r="17" spans="2:31" s="116" customFormat="1" ht="21">
      <c r="B17" s="135">
        <v>13</v>
      </c>
      <c r="C17" s="121">
        <v>1763</v>
      </c>
      <c r="D17" s="153">
        <f>ข้อมูลเด็ก!E18</f>
        <v>1459700118481</v>
      </c>
      <c r="E17" s="136" t="str">
        <f>ข้อมูลเด็ก!F18</f>
        <v>เด็กหญิงอริสา วรเลิศ</v>
      </c>
      <c r="F17" s="138"/>
      <c r="G17" s="139" t="s">
        <v>203</v>
      </c>
      <c r="H17" s="140"/>
      <c r="I17" s="140"/>
      <c r="J17" s="139" t="s">
        <v>203</v>
      </c>
      <c r="K17" s="139" t="s">
        <v>203</v>
      </c>
      <c r="L17" s="139" t="s">
        <v>203</v>
      </c>
      <c r="M17" s="139" t="s">
        <v>203</v>
      </c>
      <c r="N17" s="139" t="s">
        <v>203</v>
      </c>
      <c r="O17" s="140"/>
      <c r="P17" s="140"/>
      <c r="Q17" s="139" t="s">
        <v>203</v>
      </c>
      <c r="R17" s="139" t="s">
        <v>203</v>
      </c>
      <c r="S17" s="139" t="s">
        <v>203</v>
      </c>
      <c r="T17" s="139" t="s">
        <v>203</v>
      </c>
      <c r="U17" s="139" t="s">
        <v>203</v>
      </c>
      <c r="V17" s="140"/>
      <c r="W17" s="140"/>
      <c r="X17" s="141"/>
      <c r="Y17" s="144"/>
      <c r="Z17" s="139" t="s">
        <v>203</v>
      </c>
      <c r="AA17" s="139" t="s">
        <v>203</v>
      </c>
      <c r="AB17" s="139" t="s">
        <v>203</v>
      </c>
      <c r="AC17" s="140"/>
      <c r="AD17" s="140"/>
      <c r="AE17" s="6"/>
    </row>
    <row r="19" spans="2:31" ht="21">
      <c r="D19" s="23" t="s">
        <v>61</v>
      </c>
    </row>
    <row r="20" spans="2:31" ht="21">
      <c r="D20" s="223" t="s">
        <v>206</v>
      </c>
      <c r="E20" s="223"/>
    </row>
    <row r="21" spans="2:31" ht="21">
      <c r="D21" s="224" t="s">
        <v>207</v>
      </c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</row>
  </sheetData>
  <protectedRanges>
    <protectedRange sqref="G5:AD17" name="ช่วง1"/>
    <protectedRange sqref="G4:AD4" name="ช่วง1_1"/>
    <protectedRange sqref="G2:W2" name="ช่วง1_2_1_1_3"/>
    <protectedRange sqref="G3:W3" name="ช่วง1_2_1_1_1_2"/>
    <protectedRange sqref="X2:AD2" name="ช่วง1_2_1_1_2_1"/>
    <protectedRange sqref="X3:AD3" name="ช่วง1_2_1_1_1_1_1"/>
  </protectedRanges>
  <mergeCells count="14">
    <mergeCell ref="D20:E20"/>
    <mergeCell ref="D21:W21"/>
    <mergeCell ref="B1:B4"/>
    <mergeCell ref="C1:C4"/>
    <mergeCell ref="E1:E4"/>
    <mergeCell ref="G1:I1"/>
    <mergeCell ref="D1:D4"/>
    <mergeCell ref="G2:I2"/>
    <mergeCell ref="X1:AD1"/>
    <mergeCell ref="X2:AD2"/>
    <mergeCell ref="J2:P2"/>
    <mergeCell ref="J1:P1"/>
    <mergeCell ref="Q1:W1"/>
    <mergeCell ref="Q2:W2"/>
  </mergeCells>
  <dataValidations disablePrompts="1" count="1">
    <dataValidation type="list" allowBlank="1" showInputMessage="1" showErrorMessage="1" sqref="E5:E17" xr:uid="{9C0F8E77-35F7-4C40-90A0-44A52B590134}">
      <formula1>list</formula1>
    </dataValidation>
  </dataValidations>
  <pageMargins left="0.7" right="0.7" top="0.75" bottom="0.75" header="0.3" footer="0.3"/>
  <pageSetup paperSize="9" scale="78" fitToWidth="0" fitToHeight="0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Y21"/>
  <sheetViews>
    <sheetView view="pageBreakPreview" topLeftCell="A3" zoomScale="90" zoomScaleNormal="100" zoomScaleSheetLayoutView="90" workbookViewId="0">
      <selection activeCell="D18" sqref="D18"/>
    </sheetView>
  </sheetViews>
  <sheetFormatPr defaultColWidth="9" defaultRowHeight="15.75"/>
  <cols>
    <col min="1" max="1" width="1.42578125" style="1" customWidth="1"/>
    <col min="2" max="2" width="6.85546875" style="4" customWidth="1"/>
    <col min="3" max="3" width="1.7109375" style="4" customWidth="1"/>
    <col min="4" max="51" width="1.7109375" style="1" customWidth="1"/>
    <col min="52" max="16384" width="9" style="1"/>
  </cols>
  <sheetData>
    <row r="1" spans="2:51" ht="21">
      <c r="B1" s="164" t="s">
        <v>167</v>
      </c>
      <c r="C1" s="147"/>
      <c r="D1" s="232">
        <v>5</v>
      </c>
      <c r="E1" s="232"/>
      <c r="F1" s="232"/>
      <c r="G1" s="232"/>
      <c r="H1" s="232"/>
      <c r="I1" s="233"/>
      <c r="J1" s="234">
        <v>6</v>
      </c>
      <c r="K1" s="232"/>
      <c r="L1" s="232"/>
      <c r="M1" s="232"/>
      <c r="N1" s="232"/>
      <c r="O1" s="232"/>
      <c r="P1" s="233"/>
      <c r="Q1" s="234">
        <v>7</v>
      </c>
      <c r="R1" s="232"/>
      <c r="S1" s="232"/>
      <c r="T1" s="232"/>
      <c r="U1" s="232"/>
      <c r="V1" s="232"/>
      <c r="W1" s="233"/>
      <c r="X1" s="234">
        <v>8</v>
      </c>
      <c r="Y1" s="232"/>
      <c r="Z1" s="232"/>
      <c r="AA1" s="232"/>
      <c r="AB1" s="232"/>
      <c r="AC1" s="232"/>
      <c r="AD1" s="233"/>
      <c r="AE1" s="208">
        <v>9</v>
      </c>
      <c r="AF1" s="208"/>
      <c r="AG1" s="208"/>
      <c r="AH1" s="208"/>
      <c r="AI1" s="208"/>
      <c r="AJ1" s="208"/>
      <c r="AK1" s="208"/>
      <c r="AL1" s="234">
        <v>10</v>
      </c>
      <c r="AM1" s="232"/>
      <c r="AN1" s="232"/>
      <c r="AO1" s="232"/>
      <c r="AP1" s="232"/>
      <c r="AQ1" s="232"/>
      <c r="AR1" s="233"/>
      <c r="AS1" s="208">
        <v>11</v>
      </c>
      <c r="AT1" s="208"/>
      <c r="AU1" s="208"/>
      <c r="AV1" s="208"/>
      <c r="AW1" s="208"/>
      <c r="AX1" s="208"/>
      <c r="AY1" s="208"/>
    </row>
    <row r="2" spans="2:51" ht="21.75" customHeight="1">
      <c r="B2" s="164" t="s">
        <v>53</v>
      </c>
      <c r="C2" s="147"/>
      <c r="D2" s="229" t="s">
        <v>170</v>
      </c>
      <c r="E2" s="229"/>
      <c r="F2" s="229"/>
      <c r="G2" s="229"/>
      <c r="H2" s="229"/>
      <c r="I2" s="230"/>
      <c r="J2" s="231" t="s">
        <v>170</v>
      </c>
      <c r="K2" s="229"/>
      <c r="L2" s="229"/>
      <c r="M2" s="229"/>
      <c r="N2" s="229"/>
      <c r="O2" s="229"/>
      <c r="P2" s="230"/>
      <c r="Q2" s="231" t="s">
        <v>208</v>
      </c>
      <c r="R2" s="229"/>
      <c r="S2" s="229"/>
      <c r="T2" s="229"/>
      <c r="U2" s="229"/>
      <c r="V2" s="229"/>
      <c r="W2" s="230"/>
      <c r="X2" s="231" t="s">
        <v>209</v>
      </c>
      <c r="Y2" s="229"/>
      <c r="Z2" s="229"/>
      <c r="AA2" s="229"/>
      <c r="AB2" s="229"/>
      <c r="AC2" s="229"/>
      <c r="AD2" s="230"/>
      <c r="AE2" s="231" t="s">
        <v>210</v>
      </c>
      <c r="AF2" s="229"/>
      <c r="AG2" s="229"/>
      <c r="AH2" s="229"/>
      <c r="AI2" s="229"/>
      <c r="AJ2" s="229"/>
      <c r="AK2" s="230"/>
      <c r="AL2" s="231" t="s">
        <v>210</v>
      </c>
      <c r="AM2" s="229"/>
      <c r="AN2" s="229"/>
      <c r="AO2" s="229"/>
      <c r="AP2" s="229"/>
      <c r="AQ2" s="229"/>
      <c r="AR2" s="230"/>
      <c r="AS2" s="222" t="s">
        <v>210</v>
      </c>
      <c r="AT2" s="222"/>
      <c r="AU2" s="222"/>
      <c r="AV2" s="222"/>
      <c r="AW2" s="222"/>
      <c r="AX2" s="222"/>
      <c r="AY2" s="222"/>
    </row>
    <row r="3" spans="2:51" ht="18.75">
      <c r="B3" s="164" t="s">
        <v>52</v>
      </c>
      <c r="C3" s="148">
        <v>9</v>
      </c>
      <c r="D3" s="33" t="s">
        <v>211</v>
      </c>
      <c r="E3" s="33" t="s">
        <v>212</v>
      </c>
      <c r="F3" s="33" t="s">
        <v>213</v>
      </c>
      <c r="G3" s="33" t="s">
        <v>214</v>
      </c>
      <c r="H3" s="68" t="s">
        <v>215</v>
      </c>
      <c r="I3" s="68" t="s">
        <v>216</v>
      </c>
      <c r="J3" s="66" t="s">
        <v>171</v>
      </c>
      <c r="K3" s="66" t="s">
        <v>172</v>
      </c>
      <c r="L3" s="66" t="s">
        <v>173</v>
      </c>
      <c r="M3" s="66" t="s">
        <v>174</v>
      </c>
      <c r="N3" s="66" t="s">
        <v>175</v>
      </c>
      <c r="O3" s="68" t="s">
        <v>176</v>
      </c>
      <c r="P3" s="68" t="s">
        <v>177</v>
      </c>
      <c r="Q3" s="66" t="s">
        <v>178</v>
      </c>
      <c r="R3" s="66" t="s">
        <v>179</v>
      </c>
      <c r="S3" s="66" t="s">
        <v>180</v>
      </c>
      <c r="T3" s="66" t="s">
        <v>181</v>
      </c>
      <c r="U3" s="66" t="s">
        <v>182</v>
      </c>
      <c r="V3" s="68" t="s">
        <v>183</v>
      </c>
      <c r="W3" s="68" t="s">
        <v>184</v>
      </c>
      <c r="X3" s="66" t="s">
        <v>185</v>
      </c>
      <c r="Y3" s="66" t="s">
        <v>187</v>
      </c>
      <c r="Z3" s="66" t="s">
        <v>188</v>
      </c>
      <c r="AA3" s="66" t="s">
        <v>189</v>
      </c>
      <c r="AB3" s="66" t="s">
        <v>190</v>
      </c>
      <c r="AC3" s="68" t="s">
        <v>191</v>
      </c>
      <c r="AD3" s="68" t="s">
        <v>192</v>
      </c>
      <c r="AE3" s="66" t="s">
        <v>193</v>
      </c>
      <c r="AF3" s="66" t="s">
        <v>194</v>
      </c>
      <c r="AG3" s="66" t="s">
        <v>217</v>
      </c>
      <c r="AH3" s="68" t="s">
        <v>211</v>
      </c>
      <c r="AI3" s="68" t="s">
        <v>212</v>
      </c>
      <c r="AJ3" s="68" t="s">
        <v>213</v>
      </c>
      <c r="AK3" s="68" t="s">
        <v>214</v>
      </c>
      <c r="AL3" s="21" t="s">
        <v>215</v>
      </c>
      <c r="AM3" s="33" t="s">
        <v>216</v>
      </c>
      <c r="AN3" s="33" t="s">
        <v>171</v>
      </c>
      <c r="AO3" s="33" t="s">
        <v>172</v>
      </c>
      <c r="AP3" s="33" t="s">
        <v>173</v>
      </c>
      <c r="AQ3" s="68" t="s">
        <v>174</v>
      </c>
      <c r="AR3" s="68" t="s">
        <v>175</v>
      </c>
      <c r="AS3" s="67" t="s">
        <v>176</v>
      </c>
      <c r="AT3" s="33" t="s">
        <v>177</v>
      </c>
      <c r="AU3" s="33" t="s">
        <v>178</v>
      </c>
      <c r="AV3" s="66" t="s">
        <v>179</v>
      </c>
      <c r="AW3" s="66" t="s">
        <v>180</v>
      </c>
      <c r="AX3" s="68" t="s">
        <v>181</v>
      </c>
      <c r="AY3" s="68" t="s">
        <v>182</v>
      </c>
    </row>
    <row r="4" spans="2:51" ht="18.75">
      <c r="B4" s="164" t="s">
        <v>195</v>
      </c>
      <c r="C4" s="148" t="s">
        <v>199</v>
      </c>
      <c r="D4" s="21" t="s">
        <v>200</v>
      </c>
      <c r="E4" s="21" t="s">
        <v>201</v>
      </c>
      <c r="F4" s="21" t="s">
        <v>202</v>
      </c>
      <c r="G4" s="21" t="s">
        <v>196</v>
      </c>
      <c r="H4" s="69" t="s">
        <v>197</v>
      </c>
      <c r="I4" s="69" t="s">
        <v>198</v>
      </c>
      <c r="J4" s="67" t="s">
        <v>199</v>
      </c>
      <c r="K4" s="67" t="s">
        <v>200</v>
      </c>
      <c r="L4" s="67" t="s">
        <v>201</v>
      </c>
      <c r="M4" s="67" t="s">
        <v>202</v>
      </c>
      <c r="N4" s="67" t="s">
        <v>196</v>
      </c>
      <c r="O4" s="69" t="s">
        <v>197</v>
      </c>
      <c r="P4" s="69" t="s">
        <v>198</v>
      </c>
      <c r="Q4" s="67" t="s">
        <v>199</v>
      </c>
      <c r="R4" s="67" t="s">
        <v>200</v>
      </c>
      <c r="S4" s="67" t="s">
        <v>201</v>
      </c>
      <c r="T4" s="67" t="s">
        <v>202</v>
      </c>
      <c r="U4" s="67" t="s">
        <v>196</v>
      </c>
      <c r="V4" s="69" t="s">
        <v>197</v>
      </c>
      <c r="W4" s="69" t="s">
        <v>198</v>
      </c>
      <c r="X4" s="67" t="s">
        <v>199</v>
      </c>
      <c r="Y4" s="67" t="s">
        <v>200</v>
      </c>
      <c r="Z4" s="67" t="s">
        <v>201</v>
      </c>
      <c r="AA4" s="67" t="s">
        <v>202</v>
      </c>
      <c r="AB4" s="67" t="s">
        <v>196</v>
      </c>
      <c r="AC4" s="68" t="s">
        <v>197</v>
      </c>
      <c r="AD4" s="69" t="s">
        <v>198</v>
      </c>
      <c r="AE4" s="67" t="s">
        <v>199</v>
      </c>
      <c r="AF4" s="67" t="s">
        <v>200</v>
      </c>
      <c r="AG4" s="67" t="s">
        <v>201</v>
      </c>
      <c r="AH4" s="69" t="s">
        <v>202</v>
      </c>
      <c r="AI4" s="69" t="s">
        <v>196</v>
      </c>
      <c r="AJ4" s="69" t="s">
        <v>197</v>
      </c>
      <c r="AK4" s="69" t="s">
        <v>198</v>
      </c>
      <c r="AL4" s="67" t="s">
        <v>199</v>
      </c>
      <c r="AM4" s="67" t="s">
        <v>200</v>
      </c>
      <c r="AN4" s="67" t="s">
        <v>201</v>
      </c>
      <c r="AO4" s="67" t="s">
        <v>202</v>
      </c>
      <c r="AP4" s="67" t="s">
        <v>196</v>
      </c>
      <c r="AQ4" s="69" t="s">
        <v>197</v>
      </c>
      <c r="AR4" s="69" t="s">
        <v>198</v>
      </c>
      <c r="AS4" s="67" t="s">
        <v>199</v>
      </c>
      <c r="AT4" s="67" t="s">
        <v>200</v>
      </c>
      <c r="AU4" s="67" t="s">
        <v>201</v>
      </c>
      <c r="AV4" s="67" t="s">
        <v>202</v>
      </c>
      <c r="AW4" s="67" t="s">
        <v>196</v>
      </c>
      <c r="AX4" s="69" t="s">
        <v>197</v>
      </c>
      <c r="AY4" s="69" t="s">
        <v>200</v>
      </c>
    </row>
    <row r="5" spans="2:51" ht="18.75">
      <c r="B5" s="118">
        <v>1</v>
      </c>
      <c r="C5" s="118" t="s">
        <v>203</v>
      </c>
      <c r="D5" s="118" t="s">
        <v>203</v>
      </c>
      <c r="E5" s="118" t="s">
        <v>203</v>
      </c>
      <c r="F5" s="118" t="s">
        <v>203</v>
      </c>
      <c r="G5" s="118" t="s">
        <v>203</v>
      </c>
      <c r="H5" s="123"/>
      <c r="I5" s="123"/>
      <c r="J5" s="118" t="s">
        <v>203</v>
      </c>
      <c r="K5" s="118" t="s">
        <v>203</v>
      </c>
      <c r="L5" s="118" t="s">
        <v>203</v>
      </c>
      <c r="M5" s="118" t="s">
        <v>203</v>
      </c>
      <c r="N5" s="118" t="s">
        <v>203</v>
      </c>
      <c r="O5" s="123"/>
      <c r="P5" s="123"/>
      <c r="Q5" s="118" t="s">
        <v>203</v>
      </c>
      <c r="R5" s="118" t="s">
        <v>203</v>
      </c>
      <c r="S5" s="118" t="s">
        <v>203</v>
      </c>
      <c r="T5" s="118" t="s">
        <v>203</v>
      </c>
      <c r="U5" s="118" t="s">
        <v>203</v>
      </c>
      <c r="V5" s="123"/>
      <c r="W5" s="123"/>
      <c r="X5" s="118" t="s">
        <v>203</v>
      </c>
      <c r="Y5" s="118" t="s">
        <v>203</v>
      </c>
      <c r="Z5" s="118" t="s">
        <v>203</v>
      </c>
      <c r="AA5" s="118" t="s">
        <v>203</v>
      </c>
      <c r="AB5" s="118" t="s">
        <v>203</v>
      </c>
      <c r="AC5" s="123"/>
      <c r="AD5" s="123"/>
      <c r="AE5" s="118" t="s">
        <v>203</v>
      </c>
      <c r="AF5" s="118" t="s">
        <v>203</v>
      </c>
      <c r="AG5" s="118" t="s">
        <v>203</v>
      </c>
      <c r="AH5" s="123"/>
      <c r="AI5" s="123"/>
      <c r="AJ5" s="123"/>
      <c r="AK5" s="123"/>
      <c r="AL5" s="118" t="s">
        <v>203</v>
      </c>
      <c r="AM5" s="118" t="s">
        <v>203</v>
      </c>
      <c r="AN5" s="118" t="s">
        <v>203</v>
      </c>
      <c r="AO5" s="118" t="s">
        <v>203</v>
      </c>
      <c r="AP5" s="118" t="s">
        <v>203</v>
      </c>
      <c r="AQ5" s="123"/>
      <c r="AR5" s="123"/>
      <c r="AS5" s="118" t="s">
        <v>203</v>
      </c>
      <c r="AT5" s="118" t="s">
        <v>203</v>
      </c>
      <c r="AU5" s="118" t="s">
        <v>203</v>
      </c>
      <c r="AV5" s="118" t="s">
        <v>203</v>
      </c>
      <c r="AW5" s="118" t="s">
        <v>203</v>
      </c>
      <c r="AX5" s="123"/>
      <c r="AY5" s="123"/>
    </row>
    <row r="6" spans="2:51" ht="18.75">
      <c r="B6" s="118">
        <v>2</v>
      </c>
      <c r="C6" s="118" t="s">
        <v>203</v>
      </c>
      <c r="D6" s="118" t="s">
        <v>203</v>
      </c>
      <c r="E6" s="118" t="s">
        <v>203</v>
      </c>
      <c r="F6" s="118" t="s">
        <v>203</v>
      </c>
      <c r="G6" s="118" t="s">
        <v>203</v>
      </c>
      <c r="H6" s="123"/>
      <c r="I6" s="123"/>
      <c r="J6" s="118" t="s">
        <v>203</v>
      </c>
      <c r="K6" s="118" t="s">
        <v>203</v>
      </c>
      <c r="L6" s="118" t="s">
        <v>203</v>
      </c>
      <c r="M6" s="118" t="s">
        <v>203</v>
      </c>
      <c r="N6" s="118" t="s">
        <v>203</v>
      </c>
      <c r="O6" s="123"/>
      <c r="P6" s="123"/>
      <c r="Q6" s="118" t="s">
        <v>203</v>
      </c>
      <c r="R6" s="118" t="s">
        <v>203</v>
      </c>
      <c r="S6" s="118" t="s">
        <v>203</v>
      </c>
      <c r="T6" s="118" t="s">
        <v>203</v>
      </c>
      <c r="U6" s="118" t="s">
        <v>203</v>
      </c>
      <c r="V6" s="123"/>
      <c r="W6" s="123"/>
      <c r="X6" s="118" t="s">
        <v>203</v>
      </c>
      <c r="Y6" s="118" t="s">
        <v>203</v>
      </c>
      <c r="Z6" s="118" t="s">
        <v>203</v>
      </c>
      <c r="AA6" s="118" t="s">
        <v>205</v>
      </c>
      <c r="AB6" s="118" t="s">
        <v>203</v>
      </c>
      <c r="AC6" s="123"/>
      <c r="AD6" s="123"/>
      <c r="AE6" s="118" t="s">
        <v>203</v>
      </c>
      <c r="AF6" s="118" t="s">
        <v>203</v>
      </c>
      <c r="AG6" s="118" t="s">
        <v>203</v>
      </c>
      <c r="AH6" s="123"/>
      <c r="AI6" s="123"/>
      <c r="AJ6" s="123"/>
      <c r="AK6" s="123"/>
      <c r="AL6" s="118" t="s">
        <v>203</v>
      </c>
      <c r="AM6" s="118" t="s">
        <v>203</v>
      </c>
      <c r="AN6" s="118" t="s">
        <v>203</v>
      </c>
      <c r="AO6" s="118" t="s">
        <v>203</v>
      </c>
      <c r="AP6" s="118" t="s">
        <v>203</v>
      </c>
      <c r="AQ6" s="123"/>
      <c r="AR6" s="123"/>
      <c r="AS6" s="118" t="s">
        <v>203</v>
      </c>
      <c r="AT6" s="118" t="s">
        <v>203</v>
      </c>
      <c r="AU6" s="118" t="s">
        <v>203</v>
      </c>
      <c r="AV6" s="118" t="s">
        <v>203</v>
      </c>
      <c r="AW6" s="118" t="s">
        <v>203</v>
      </c>
      <c r="AX6" s="123"/>
      <c r="AY6" s="123"/>
    </row>
    <row r="7" spans="2:51" ht="18.75">
      <c r="B7" s="118">
        <v>3</v>
      </c>
      <c r="C7" s="118" t="s">
        <v>203</v>
      </c>
      <c r="D7" s="118" t="s">
        <v>203</v>
      </c>
      <c r="E7" s="118" t="s">
        <v>203</v>
      </c>
      <c r="F7" s="118" t="s">
        <v>203</v>
      </c>
      <c r="G7" s="118" t="s">
        <v>203</v>
      </c>
      <c r="H7" s="123"/>
      <c r="I7" s="123"/>
      <c r="J7" s="118" t="s">
        <v>203</v>
      </c>
      <c r="K7" s="118" t="s">
        <v>203</v>
      </c>
      <c r="L7" s="118" t="s">
        <v>203</v>
      </c>
      <c r="M7" s="118" t="s">
        <v>203</v>
      </c>
      <c r="N7" s="118" t="s">
        <v>203</v>
      </c>
      <c r="O7" s="123"/>
      <c r="P7" s="123"/>
      <c r="Q7" s="118" t="s">
        <v>203</v>
      </c>
      <c r="R7" s="118" t="s">
        <v>203</v>
      </c>
      <c r="S7" s="118" t="s">
        <v>203</v>
      </c>
      <c r="T7" s="118" t="s">
        <v>203</v>
      </c>
      <c r="U7" s="118" t="s">
        <v>203</v>
      </c>
      <c r="V7" s="123"/>
      <c r="W7" s="123"/>
      <c r="X7" s="118" t="s">
        <v>203</v>
      </c>
      <c r="Y7" s="118" t="s">
        <v>203</v>
      </c>
      <c r="Z7" s="118" t="s">
        <v>203</v>
      </c>
      <c r="AA7" s="118" t="s">
        <v>203</v>
      </c>
      <c r="AB7" s="118" t="s">
        <v>203</v>
      </c>
      <c r="AC7" s="123"/>
      <c r="AD7" s="123"/>
      <c r="AE7" s="118" t="s">
        <v>203</v>
      </c>
      <c r="AF7" s="118" t="s">
        <v>203</v>
      </c>
      <c r="AG7" s="118" t="s">
        <v>203</v>
      </c>
      <c r="AH7" s="123"/>
      <c r="AI7" s="123"/>
      <c r="AJ7" s="123"/>
      <c r="AK7" s="123"/>
      <c r="AL7" s="118" t="s">
        <v>203</v>
      </c>
      <c r="AM7" s="118" t="s">
        <v>203</v>
      </c>
      <c r="AN7" s="118" t="s">
        <v>204</v>
      </c>
      <c r="AO7" s="118" t="s">
        <v>203</v>
      </c>
      <c r="AP7" s="118" t="s">
        <v>203</v>
      </c>
      <c r="AQ7" s="123"/>
      <c r="AR7" s="123"/>
      <c r="AS7" s="118" t="s">
        <v>203</v>
      </c>
      <c r="AT7" s="118" t="s">
        <v>203</v>
      </c>
      <c r="AU7" s="118" t="s">
        <v>203</v>
      </c>
      <c r="AV7" s="118" t="s">
        <v>205</v>
      </c>
      <c r="AW7" s="118" t="s">
        <v>203</v>
      </c>
      <c r="AX7" s="123"/>
      <c r="AY7" s="123"/>
    </row>
    <row r="8" spans="2:51" ht="18.75">
      <c r="B8" s="118">
        <v>4</v>
      </c>
      <c r="C8" s="118" t="s">
        <v>203</v>
      </c>
      <c r="D8" s="118" t="s">
        <v>203</v>
      </c>
      <c r="E8" s="118" t="s">
        <v>203</v>
      </c>
      <c r="F8" s="118" t="s">
        <v>203</v>
      </c>
      <c r="G8" s="118" t="s">
        <v>205</v>
      </c>
      <c r="H8" s="123"/>
      <c r="I8" s="123"/>
      <c r="J8" s="118" t="s">
        <v>203</v>
      </c>
      <c r="K8" s="118" t="s">
        <v>203</v>
      </c>
      <c r="L8" s="118" t="s">
        <v>203</v>
      </c>
      <c r="M8" s="118" t="s">
        <v>203</v>
      </c>
      <c r="N8" s="118" t="s">
        <v>203</v>
      </c>
      <c r="O8" s="123"/>
      <c r="P8" s="123"/>
      <c r="Q8" s="118" t="s">
        <v>203</v>
      </c>
      <c r="R8" s="118" t="s">
        <v>203</v>
      </c>
      <c r="S8" s="118" t="s">
        <v>203</v>
      </c>
      <c r="T8" s="118" t="s">
        <v>203</v>
      </c>
      <c r="U8" s="118" t="s">
        <v>203</v>
      </c>
      <c r="V8" s="123"/>
      <c r="W8" s="123"/>
      <c r="X8" s="118" t="s">
        <v>203</v>
      </c>
      <c r="Y8" s="118" t="s">
        <v>203</v>
      </c>
      <c r="Z8" s="118" t="s">
        <v>203</v>
      </c>
      <c r="AA8" s="118" t="s">
        <v>203</v>
      </c>
      <c r="AB8" s="118" t="s">
        <v>203</v>
      </c>
      <c r="AC8" s="123"/>
      <c r="AD8" s="123"/>
      <c r="AE8" s="118" t="s">
        <v>203</v>
      </c>
      <c r="AF8" s="118" t="s">
        <v>203</v>
      </c>
      <c r="AG8" s="118" t="s">
        <v>203</v>
      </c>
      <c r="AH8" s="123"/>
      <c r="AI8" s="123"/>
      <c r="AJ8" s="123"/>
      <c r="AK8" s="123"/>
      <c r="AL8" s="118" t="s">
        <v>203</v>
      </c>
      <c r="AM8" s="118" t="s">
        <v>203</v>
      </c>
      <c r="AN8" s="118" t="s">
        <v>203</v>
      </c>
      <c r="AO8" s="118" t="s">
        <v>203</v>
      </c>
      <c r="AP8" s="118" t="s">
        <v>203</v>
      </c>
      <c r="AQ8" s="123"/>
      <c r="AR8" s="123"/>
      <c r="AS8" s="118" t="s">
        <v>203</v>
      </c>
      <c r="AT8" s="118" t="s">
        <v>203</v>
      </c>
      <c r="AU8" s="118" t="s">
        <v>203</v>
      </c>
      <c r="AV8" s="118" t="s">
        <v>203</v>
      </c>
      <c r="AW8" s="118" t="s">
        <v>203</v>
      </c>
      <c r="AX8" s="123"/>
      <c r="AY8" s="123"/>
    </row>
    <row r="9" spans="2:51" ht="18.75">
      <c r="B9" s="118">
        <v>5</v>
      </c>
      <c r="C9" s="118" t="s">
        <v>203</v>
      </c>
      <c r="D9" s="118" t="s">
        <v>203</v>
      </c>
      <c r="E9" s="118" t="s">
        <v>203</v>
      </c>
      <c r="F9" s="118" t="s">
        <v>203</v>
      </c>
      <c r="G9" s="118" t="s">
        <v>203</v>
      </c>
      <c r="H9" s="123"/>
      <c r="I9" s="123"/>
      <c r="J9" s="118" t="s">
        <v>203</v>
      </c>
      <c r="K9" s="118" t="s">
        <v>203</v>
      </c>
      <c r="L9" s="118" t="s">
        <v>203</v>
      </c>
      <c r="M9" s="118" t="s">
        <v>203</v>
      </c>
      <c r="N9" s="118" t="s">
        <v>203</v>
      </c>
      <c r="O9" s="123"/>
      <c r="P9" s="123"/>
      <c r="Q9" s="118" t="s">
        <v>203</v>
      </c>
      <c r="R9" s="118" t="s">
        <v>203</v>
      </c>
      <c r="S9" s="118" t="s">
        <v>203</v>
      </c>
      <c r="T9" s="118" t="s">
        <v>203</v>
      </c>
      <c r="U9" s="118" t="s">
        <v>203</v>
      </c>
      <c r="V9" s="123"/>
      <c r="W9" s="123"/>
      <c r="X9" s="118" t="s">
        <v>203</v>
      </c>
      <c r="Y9" s="118" t="s">
        <v>203</v>
      </c>
      <c r="Z9" s="118" t="s">
        <v>204</v>
      </c>
      <c r="AA9" s="118" t="s">
        <v>203</v>
      </c>
      <c r="AB9" s="118" t="s">
        <v>203</v>
      </c>
      <c r="AC9" s="123"/>
      <c r="AD9" s="123"/>
      <c r="AE9" s="118" t="s">
        <v>203</v>
      </c>
      <c r="AF9" s="118" t="s">
        <v>203</v>
      </c>
      <c r="AG9" s="118" t="s">
        <v>203</v>
      </c>
      <c r="AH9" s="123"/>
      <c r="AI9" s="123"/>
      <c r="AJ9" s="123"/>
      <c r="AK9" s="123"/>
      <c r="AL9" s="118" t="s">
        <v>203</v>
      </c>
      <c r="AM9" s="118" t="s">
        <v>203</v>
      </c>
      <c r="AN9" s="118" t="s">
        <v>205</v>
      </c>
      <c r="AO9" s="118" t="s">
        <v>203</v>
      </c>
      <c r="AP9" s="118" t="s">
        <v>203</v>
      </c>
      <c r="AQ9" s="123"/>
      <c r="AR9" s="123"/>
      <c r="AS9" s="118" t="s">
        <v>203</v>
      </c>
      <c r="AT9" s="118" t="s">
        <v>203</v>
      </c>
      <c r="AU9" s="118" t="s">
        <v>203</v>
      </c>
      <c r="AV9" s="118" t="s">
        <v>203</v>
      </c>
      <c r="AW9" s="118" t="s">
        <v>203</v>
      </c>
      <c r="AX9" s="123"/>
      <c r="AY9" s="123"/>
    </row>
    <row r="10" spans="2:51" ht="18.75">
      <c r="B10" s="118">
        <v>6</v>
      </c>
      <c r="C10" s="118" t="s">
        <v>203</v>
      </c>
      <c r="D10" s="118" t="s">
        <v>203</v>
      </c>
      <c r="E10" s="118" t="s">
        <v>203</v>
      </c>
      <c r="F10" s="118" t="s">
        <v>203</v>
      </c>
      <c r="G10" s="118" t="s">
        <v>203</v>
      </c>
      <c r="H10" s="123"/>
      <c r="I10" s="123"/>
      <c r="J10" s="118" t="s">
        <v>203</v>
      </c>
      <c r="K10" s="118" t="s">
        <v>203</v>
      </c>
      <c r="L10" s="118" t="s">
        <v>203</v>
      </c>
      <c r="M10" s="118" t="s">
        <v>203</v>
      </c>
      <c r="N10" s="118" t="s">
        <v>203</v>
      </c>
      <c r="O10" s="123"/>
      <c r="P10" s="123"/>
      <c r="Q10" s="118" t="s">
        <v>203</v>
      </c>
      <c r="R10" s="118" t="s">
        <v>203</v>
      </c>
      <c r="S10" s="118" t="s">
        <v>203</v>
      </c>
      <c r="T10" s="118" t="s">
        <v>203</v>
      </c>
      <c r="U10" s="118" t="s">
        <v>203</v>
      </c>
      <c r="V10" s="123"/>
      <c r="W10" s="123"/>
      <c r="X10" s="118" t="s">
        <v>203</v>
      </c>
      <c r="Y10" s="118" t="s">
        <v>203</v>
      </c>
      <c r="Z10" s="118" t="s">
        <v>203</v>
      </c>
      <c r="AA10" s="118" t="s">
        <v>203</v>
      </c>
      <c r="AB10" s="118" t="s">
        <v>203</v>
      </c>
      <c r="AC10" s="123"/>
      <c r="AD10" s="123"/>
      <c r="AE10" s="118" t="s">
        <v>203</v>
      </c>
      <c r="AF10" s="118" t="s">
        <v>203</v>
      </c>
      <c r="AG10" s="118" t="s">
        <v>203</v>
      </c>
      <c r="AH10" s="123"/>
      <c r="AI10" s="123"/>
      <c r="AJ10" s="123"/>
      <c r="AK10" s="123"/>
      <c r="AL10" s="118" t="s">
        <v>203</v>
      </c>
      <c r="AM10" s="118" t="s">
        <v>203</v>
      </c>
      <c r="AN10" s="118" t="s">
        <v>203</v>
      </c>
      <c r="AO10" s="118" t="s">
        <v>203</v>
      </c>
      <c r="AP10" s="118" t="s">
        <v>203</v>
      </c>
      <c r="AQ10" s="123"/>
      <c r="AR10" s="123"/>
      <c r="AS10" s="118" t="s">
        <v>203</v>
      </c>
      <c r="AT10" s="118" t="s">
        <v>204</v>
      </c>
      <c r="AU10" s="118" t="s">
        <v>203</v>
      </c>
      <c r="AV10" s="118" t="s">
        <v>203</v>
      </c>
      <c r="AW10" s="118" t="s">
        <v>203</v>
      </c>
      <c r="AX10" s="123"/>
      <c r="AY10" s="123"/>
    </row>
    <row r="11" spans="2:51" ht="18.75">
      <c r="B11" s="118">
        <v>7</v>
      </c>
      <c r="C11" s="118" t="s">
        <v>203</v>
      </c>
      <c r="D11" s="118" t="s">
        <v>203</v>
      </c>
      <c r="E11" s="118" t="s">
        <v>203</v>
      </c>
      <c r="F11" s="118" t="s">
        <v>203</v>
      </c>
      <c r="G11" s="118" t="s">
        <v>203</v>
      </c>
      <c r="H11" s="123"/>
      <c r="I11" s="123"/>
      <c r="J11" s="118" t="s">
        <v>203</v>
      </c>
      <c r="K11" s="118" t="s">
        <v>203</v>
      </c>
      <c r="L11" s="118" t="s">
        <v>203</v>
      </c>
      <c r="M11" s="118" t="s">
        <v>203</v>
      </c>
      <c r="N11" s="118" t="s">
        <v>203</v>
      </c>
      <c r="O11" s="123"/>
      <c r="P11" s="123"/>
      <c r="Q11" s="118" t="s">
        <v>203</v>
      </c>
      <c r="R11" s="118" t="s">
        <v>204</v>
      </c>
      <c r="S11" s="118" t="s">
        <v>203</v>
      </c>
      <c r="T11" s="118" t="s">
        <v>203</v>
      </c>
      <c r="U11" s="118" t="s">
        <v>203</v>
      </c>
      <c r="V11" s="123"/>
      <c r="W11" s="123"/>
      <c r="X11" s="118" t="s">
        <v>203</v>
      </c>
      <c r="Y11" s="118" t="s">
        <v>203</v>
      </c>
      <c r="Z11" s="118" t="s">
        <v>203</v>
      </c>
      <c r="AA11" s="118" t="s">
        <v>203</v>
      </c>
      <c r="AB11" s="118" t="s">
        <v>203</v>
      </c>
      <c r="AC11" s="123"/>
      <c r="AD11" s="123"/>
      <c r="AE11" s="118" t="s">
        <v>203</v>
      </c>
      <c r="AF11" s="118" t="s">
        <v>203</v>
      </c>
      <c r="AG11" s="118" t="s">
        <v>203</v>
      </c>
      <c r="AH11" s="123"/>
      <c r="AI11" s="123"/>
      <c r="AJ11" s="123"/>
      <c r="AK11" s="123"/>
      <c r="AL11" s="118" t="s">
        <v>203</v>
      </c>
      <c r="AM11" s="118" t="s">
        <v>203</v>
      </c>
      <c r="AN11" s="118" t="s">
        <v>203</v>
      </c>
      <c r="AO11" s="118" t="s">
        <v>203</v>
      </c>
      <c r="AP11" s="118" t="s">
        <v>203</v>
      </c>
      <c r="AQ11" s="123"/>
      <c r="AR11" s="123"/>
      <c r="AS11" s="118" t="s">
        <v>203</v>
      </c>
      <c r="AT11" s="118" t="s">
        <v>203</v>
      </c>
      <c r="AU11" s="118" t="s">
        <v>203</v>
      </c>
      <c r="AV11" s="118" t="s">
        <v>203</v>
      </c>
      <c r="AW11" s="118" t="s">
        <v>203</v>
      </c>
      <c r="AX11" s="123"/>
      <c r="AY11" s="123"/>
    </row>
    <row r="12" spans="2:51" ht="18.75">
      <c r="B12" s="118">
        <v>8</v>
      </c>
      <c r="C12" s="118" t="s">
        <v>203</v>
      </c>
      <c r="D12" s="118" t="s">
        <v>203</v>
      </c>
      <c r="E12" s="118" t="s">
        <v>203</v>
      </c>
      <c r="F12" s="118" t="s">
        <v>203</v>
      </c>
      <c r="G12" s="118" t="s">
        <v>203</v>
      </c>
      <c r="H12" s="123"/>
      <c r="I12" s="123"/>
      <c r="J12" s="118" t="s">
        <v>203</v>
      </c>
      <c r="K12" s="118" t="s">
        <v>203</v>
      </c>
      <c r="L12" s="118" t="s">
        <v>203</v>
      </c>
      <c r="M12" s="118" t="s">
        <v>203</v>
      </c>
      <c r="N12" s="118" t="s">
        <v>203</v>
      </c>
      <c r="O12" s="123"/>
      <c r="P12" s="123"/>
      <c r="Q12" s="118" t="s">
        <v>203</v>
      </c>
      <c r="R12" s="118" t="s">
        <v>203</v>
      </c>
      <c r="S12" s="118" t="s">
        <v>203</v>
      </c>
      <c r="T12" s="118" t="s">
        <v>203</v>
      </c>
      <c r="U12" s="118" t="s">
        <v>203</v>
      </c>
      <c r="V12" s="123"/>
      <c r="W12" s="123"/>
      <c r="X12" s="118" t="s">
        <v>203</v>
      </c>
      <c r="Y12" s="118" t="s">
        <v>203</v>
      </c>
      <c r="Z12" s="118" t="s">
        <v>203</v>
      </c>
      <c r="AA12" s="118" t="s">
        <v>203</v>
      </c>
      <c r="AB12" s="118" t="s">
        <v>203</v>
      </c>
      <c r="AC12" s="123"/>
      <c r="AD12" s="123"/>
      <c r="AE12" s="118" t="s">
        <v>203</v>
      </c>
      <c r="AF12" s="118" t="s">
        <v>203</v>
      </c>
      <c r="AG12" s="118" t="s">
        <v>203</v>
      </c>
      <c r="AH12" s="123"/>
      <c r="AI12" s="123"/>
      <c r="AJ12" s="123"/>
      <c r="AK12" s="123"/>
      <c r="AL12" s="118" t="s">
        <v>203</v>
      </c>
      <c r="AM12" s="118" t="s">
        <v>203</v>
      </c>
      <c r="AN12" s="118" t="s">
        <v>203</v>
      </c>
      <c r="AO12" s="118" t="s">
        <v>203</v>
      </c>
      <c r="AP12" s="118" t="s">
        <v>203</v>
      </c>
      <c r="AQ12" s="123"/>
      <c r="AR12" s="123"/>
      <c r="AS12" s="118" t="s">
        <v>203</v>
      </c>
      <c r="AT12" s="118" t="s">
        <v>203</v>
      </c>
      <c r="AU12" s="118" t="s">
        <v>203</v>
      </c>
      <c r="AV12" s="118" t="s">
        <v>203</v>
      </c>
      <c r="AW12" s="118" t="s">
        <v>203</v>
      </c>
      <c r="AX12" s="123"/>
      <c r="AY12" s="123"/>
    </row>
    <row r="13" spans="2:51" ht="18.75">
      <c r="B13" s="118">
        <v>9</v>
      </c>
      <c r="C13" s="118" t="s">
        <v>203</v>
      </c>
      <c r="D13" s="118" t="s">
        <v>203</v>
      </c>
      <c r="E13" s="118" t="s">
        <v>203</v>
      </c>
      <c r="F13" s="118" t="s">
        <v>203</v>
      </c>
      <c r="G13" s="118" t="s">
        <v>203</v>
      </c>
      <c r="H13" s="123"/>
      <c r="I13" s="123"/>
      <c r="J13" s="118" t="s">
        <v>203</v>
      </c>
      <c r="K13" s="118" t="s">
        <v>203</v>
      </c>
      <c r="L13" s="118" t="s">
        <v>203</v>
      </c>
      <c r="M13" s="118" t="s">
        <v>203</v>
      </c>
      <c r="N13" s="118" t="s">
        <v>203</v>
      </c>
      <c r="O13" s="123"/>
      <c r="P13" s="123"/>
      <c r="Q13" s="118" t="s">
        <v>203</v>
      </c>
      <c r="R13" s="118" t="s">
        <v>203</v>
      </c>
      <c r="S13" s="118" t="s">
        <v>203</v>
      </c>
      <c r="T13" s="118" t="s">
        <v>203</v>
      </c>
      <c r="U13" s="118" t="s">
        <v>203</v>
      </c>
      <c r="V13" s="123"/>
      <c r="W13" s="123"/>
      <c r="X13" s="118" t="s">
        <v>203</v>
      </c>
      <c r="Y13" s="118" t="s">
        <v>203</v>
      </c>
      <c r="Z13" s="118" t="s">
        <v>203</v>
      </c>
      <c r="AA13" s="118" t="s">
        <v>203</v>
      </c>
      <c r="AB13" s="118" t="s">
        <v>203</v>
      </c>
      <c r="AC13" s="123"/>
      <c r="AD13" s="123"/>
      <c r="AE13" s="118" t="s">
        <v>203</v>
      </c>
      <c r="AF13" s="118" t="s">
        <v>203</v>
      </c>
      <c r="AG13" s="118" t="s">
        <v>203</v>
      </c>
      <c r="AH13" s="123"/>
      <c r="AI13" s="123"/>
      <c r="AJ13" s="123"/>
      <c r="AK13" s="123"/>
      <c r="AL13" s="118" t="s">
        <v>203</v>
      </c>
      <c r="AM13" s="118" t="s">
        <v>203</v>
      </c>
      <c r="AN13" s="118" t="s">
        <v>203</v>
      </c>
      <c r="AO13" s="118" t="s">
        <v>203</v>
      </c>
      <c r="AP13" s="118" t="s">
        <v>203</v>
      </c>
      <c r="AQ13" s="123"/>
      <c r="AR13" s="123"/>
      <c r="AS13" s="118" t="s">
        <v>203</v>
      </c>
      <c r="AT13" s="118" t="s">
        <v>203</v>
      </c>
      <c r="AU13" s="118" t="s">
        <v>203</v>
      </c>
      <c r="AV13" s="118" t="s">
        <v>203</v>
      </c>
      <c r="AW13" s="118" t="s">
        <v>203</v>
      </c>
      <c r="AX13" s="123"/>
      <c r="AY13" s="123"/>
    </row>
    <row r="14" spans="2:51" ht="18.75">
      <c r="B14" s="118">
        <v>10</v>
      </c>
      <c r="C14" s="118" t="s">
        <v>203</v>
      </c>
      <c r="D14" s="118" t="s">
        <v>203</v>
      </c>
      <c r="E14" s="118" t="s">
        <v>203</v>
      </c>
      <c r="F14" s="118" t="s">
        <v>203</v>
      </c>
      <c r="G14" s="118" t="s">
        <v>203</v>
      </c>
      <c r="H14" s="123"/>
      <c r="I14" s="123"/>
      <c r="J14" s="118" t="s">
        <v>203</v>
      </c>
      <c r="K14" s="118" t="s">
        <v>203</v>
      </c>
      <c r="L14" s="118" t="s">
        <v>203</v>
      </c>
      <c r="M14" s="118" t="s">
        <v>203</v>
      </c>
      <c r="N14" s="118" t="s">
        <v>203</v>
      </c>
      <c r="O14" s="123"/>
      <c r="P14" s="123"/>
      <c r="Q14" s="118" t="s">
        <v>203</v>
      </c>
      <c r="R14" s="118" t="s">
        <v>203</v>
      </c>
      <c r="S14" s="118" t="s">
        <v>203</v>
      </c>
      <c r="T14" s="118" t="s">
        <v>203</v>
      </c>
      <c r="U14" s="118" t="s">
        <v>203</v>
      </c>
      <c r="V14" s="123"/>
      <c r="W14" s="123"/>
      <c r="X14" s="118" t="s">
        <v>203</v>
      </c>
      <c r="Y14" s="118" t="s">
        <v>203</v>
      </c>
      <c r="Z14" s="118" t="s">
        <v>203</v>
      </c>
      <c r="AA14" s="118" t="s">
        <v>203</v>
      </c>
      <c r="AB14" s="118" t="s">
        <v>203</v>
      </c>
      <c r="AC14" s="123"/>
      <c r="AD14" s="123"/>
      <c r="AE14" s="118" t="s">
        <v>203</v>
      </c>
      <c r="AF14" s="118" t="s">
        <v>203</v>
      </c>
      <c r="AG14" s="118" t="s">
        <v>203</v>
      </c>
      <c r="AH14" s="123"/>
      <c r="AI14" s="123"/>
      <c r="AJ14" s="123"/>
      <c r="AK14" s="123"/>
      <c r="AL14" s="118" t="s">
        <v>203</v>
      </c>
      <c r="AM14" s="118" t="s">
        <v>203</v>
      </c>
      <c r="AN14" s="118" t="s">
        <v>203</v>
      </c>
      <c r="AO14" s="118" t="s">
        <v>203</v>
      </c>
      <c r="AP14" s="118" t="s">
        <v>203</v>
      </c>
      <c r="AQ14" s="123"/>
      <c r="AR14" s="123"/>
      <c r="AS14" s="118" t="s">
        <v>204</v>
      </c>
      <c r="AT14" s="118" t="s">
        <v>203</v>
      </c>
      <c r="AU14" s="118" t="s">
        <v>203</v>
      </c>
      <c r="AV14" s="118" t="s">
        <v>203</v>
      </c>
      <c r="AW14" s="118" t="s">
        <v>203</v>
      </c>
      <c r="AX14" s="123"/>
      <c r="AY14" s="123"/>
    </row>
    <row r="15" spans="2:51" ht="18.75">
      <c r="B15" s="118">
        <v>11</v>
      </c>
      <c r="C15" s="118" t="s">
        <v>203</v>
      </c>
      <c r="D15" s="118" t="s">
        <v>203</v>
      </c>
      <c r="E15" s="118" t="s">
        <v>203</v>
      </c>
      <c r="F15" s="118" t="s">
        <v>203</v>
      </c>
      <c r="G15" s="118" t="s">
        <v>203</v>
      </c>
      <c r="H15" s="123"/>
      <c r="I15" s="123"/>
      <c r="J15" s="118" t="s">
        <v>203</v>
      </c>
      <c r="K15" s="118" t="s">
        <v>203</v>
      </c>
      <c r="L15" s="118" t="s">
        <v>203</v>
      </c>
      <c r="M15" s="118" t="s">
        <v>203</v>
      </c>
      <c r="N15" s="118" t="s">
        <v>203</v>
      </c>
      <c r="O15" s="123"/>
      <c r="P15" s="123"/>
      <c r="Q15" s="118" t="s">
        <v>203</v>
      </c>
      <c r="R15" s="118" t="s">
        <v>203</v>
      </c>
      <c r="S15" s="118" t="s">
        <v>203</v>
      </c>
      <c r="T15" s="118" t="s">
        <v>203</v>
      </c>
      <c r="U15" s="118" t="s">
        <v>203</v>
      </c>
      <c r="V15" s="123"/>
      <c r="W15" s="123"/>
      <c r="X15" s="118" t="s">
        <v>203</v>
      </c>
      <c r="Y15" s="118" t="s">
        <v>203</v>
      </c>
      <c r="Z15" s="118" t="s">
        <v>205</v>
      </c>
      <c r="AA15" s="118" t="s">
        <v>203</v>
      </c>
      <c r="AB15" s="118" t="s">
        <v>203</v>
      </c>
      <c r="AC15" s="123"/>
      <c r="AD15" s="123"/>
      <c r="AE15" s="118" t="s">
        <v>203</v>
      </c>
      <c r="AF15" s="118" t="s">
        <v>203</v>
      </c>
      <c r="AG15" s="118" t="s">
        <v>203</v>
      </c>
      <c r="AH15" s="123"/>
      <c r="AI15" s="123"/>
      <c r="AJ15" s="123"/>
      <c r="AK15" s="123"/>
      <c r="AL15" s="118" t="s">
        <v>203</v>
      </c>
      <c r="AM15" s="118" t="s">
        <v>203</v>
      </c>
      <c r="AN15" s="118" t="s">
        <v>204</v>
      </c>
      <c r="AO15" s="118" t="s">
        <v>203</v>
      </c>
      <c r="AP15" s="118" t="s">
        <v>203</v>
      </c>
      <c r="AQ15" s="123"/>
      <c r="AR15" s="123"/>
      <c r="AS15" s="118" t="s">
        <v>203</v>
      </c>
      <c r="AT15" s="118" t="s">
        <v>203</v>
      </c>
      <c r="AU15" s="118" t="s">
        <v>203</v>
      </c>
      <c r="AV15" s="118" t="s">
        <v>203</v>
      </c>
      <c r="AW15" s="118" t="s">
        <v>203</v>
      </c>
      <c r="AX15" s="123"/>
      <c r="AY15" s="123"/>
    </row>
    <row r="16" spans="2:51" ht="18.75">
      <c r="B16" s="118">
        <v>12</v>
      </c>
      <c r="C16" s="118" t="s">
        <v>203</v>
      </c>
      <c r="D16" s="118" t="s">
        <v>203</v>
      </c>
      <c r="E16" s="118" t="s">
        <v>203</v>
      </c>
      <c r="F16" s="118" t="s">
        <v>203</v>
      </c>
      <c r="G16" s="118" t="s">
        <v>203</v>
      </c>
      <c r="H16" s="123"/>
      <c r="I16" s="123"/>
      <c r="J16" s="118" t="s">
        <v>203</v>
      </c>
      <c r="K16" s="118" t="s">
        <v>203</v>
      </c>
      <c r="L16" s="118" t="s">
        <v>203</v>
      </c>
      <c r="M16" s="118" t="s">
        <v>203</v>
      </c>
      <c r="N16" s="118" t="s">
        <v>203</v>
      </c>
      <c r="O16" s="123"/>
      <c r="P16" s="123"/>
      <c r="Q16" s="118" t="s">
        <v>203</v>
      </c>
      <c r="R16" s="118" t="s">
        <v>203</v>
      </c>
      <c r="S16" s="118" t="s">
        <v>203</v>
      </c>
      <c r="T16" s="118" t="s">
        <v>203</v>
      </c>
      <c r="U16" s="118" t="s">
        <v>203</v>
      </c>
      <c r="V16" s="123"/>
      <c r="W16" s="123"/>
      <c r="X16" s="118" t="s">
        <v>203</v>
      </c>
      <c r="Y16" s="118" t="s">
        <v>203</v>
      </c>
      <c r="Z16" s="118" t="s">
        <v>203</v>
      </c>
      <c r="AA16" s="118" t="s">
        <v>203</v>
      </c>
      <c r="AB16" s="118" t="s">
        <v>203</v>
      </c>
      <c r="AC16" s="123"/>
      <c r="AD16" s="123"/>
      <c r="AE16" s="118" t="s">
        <v>203</v>
      </c>
      <c r="AF16" s="118" t="s">
        <v>203</v>
      </c>
      <c r="AG16" s="118" t="s">
        <v>203</v>
      </c>
      <c r="AH16" s="123"/>
      <c r="AI16" s="123"/>
      <c r="AJ16" s="123"/>
      <c r="AK16" s="123"/>
      <c r="AL16" s="118" t="s">
        <v>203</v>
      </c>
      <c r="AM16" s="118" t="s">
        <v>203</v>
      </c>
      <c r="AN16" s="118" t="s">
        <v>203</v>
      </c>
      <c r="AO16" s="118" t="s">
        <v>203</v>
      </c>
      <c r="AP16" s="118" t="s">
        <v>203</v>
      </c>
      <c r="AQ16" s="123"/>
      <c r="AR16" s="123"/>
      <c r="AS16" s="118" t="s">
        <v>203</v>
      </c>
      <c r="AT16" s="118" t="s">
        <v>203</v>
      </c>
      <c r="AU16" s="118" t="s">
        <v>203</v>
      </c>
      <c r="AV16" s="118" t="s">
        <v>203</v>
      </c>
      <c r="AW16" s="118" t="s">
        <v>203</v>
      </c>
      <c r="AX16" s="123"/>
      <c r="AY16" s="123"/>
    </row>
    <row r="17" spans="2:51" ht="18.75">
      <c r="B17" s="118">
        <v>13</v>
      </c>
      <c r="C17" s="118" t="s">
        <v>203</v>
      </c>
      <c r="D17" s="118" t="s">
        <v>203</v>
      </c>
      <c r="E17" s="118" t="s">
        <v>203</v>
      </c>
      <c r="F17" s="118" t="s">
        <v>203</v>
      </c>
      <c r="G17" s="118" t="s">
        <v>203</v>
      </c>
      <c r="H17" s="123"/>
      <c r="I17" s="123"/>
      <c r="J17" s="118" t="s">
        <v>203</v>
      </c>
      <c r="K17" s="118" t="s">
        <v>203</v>
      </c>
      <c r="L17" s="118" t="s">
        <v>203</v>
      </c>
      <c r="M17" s="118" t="s">
        <v>203</v>
      </c>
      <c r="N17" s="118" t="s">
        <v>203</v>
      </c>
      <c r="O17" s="123"/>
      <c r="P17" s="123"/>
      <c r="Q17" s="118" t="s">
        <v>203</v>
      </c>
      <c r="R17" s="118" t="s">
        <v>203</v>
      </c>
      <c r="S17" s="118" t="s">
        <v>203</v>
      </c>
      <c r="T17" s="118" t="s">
        <v>203</v>
      </c>
      <c r="U17" s="118" t="s">
        <v>203</v>
      </c>
      <c r="V17" s="123"/>
      <c r="W17" s="123"/>
      <c r="X17" s="118" t="s">
        <v>203</v>
      </c>
      <c r="Y17" s="118" t="s">
        <v>203</v>
      </c>
      <c r="Z17" s="118" t="s">
        <v>203</v>
      </c>
      <c r="AA17" s="118" t="s">
        <v>203</v>
      </c>
      <c r="AB17" s="118" t="s">
        <v>203</v>
      </c>
      <c r="AC17" s="123"/>
      <c r="AD17" s="123"/>
      <c r="AE17" s="118" t="s">
        <v>203</v>
      </c>
      <c r="AF17" s="118" t="s">
        <v>203</v>
      </c>
      <c r="AG17" s="118" t="s">
        <v>203</v>
      </c>
      <c r="AH17" s="123"/>
      <c r="AI17" s="123"/>
      <c r="AJ17" s="123"/>
      <c r="AK17" s="123"/>
      <c r="AL17" s="118" t="s">
        <v>203</v>
      </c>
      <c r="AM17" s="118" t="s">
        <v>203</v>
      </c>
      <c r="AN17" s="118" t="s">
        <v>203</v>
      </c>
      <c r="AO17" s="118" t="s">
        <v>203</v>
      </c>
      <c r="AP17" s="118" t="s">
        <v>203</v>
      </c>
      <c r="AQ17" s="123"/>
      <c r="AR17" s="123"/>
      <c r="AS17" s="118" t="s">
        <v>203</v>
      </c>
      <c r="AT17" s="118" t="s">
        <v>203</v>
      </c>
      <c r="AU17" s="118" t="s">
        <v>203</v>
      </c>
      <c r="AV17" s="118" t="s">
        <v>203</v>
      </c>
      <c r="AW17" s="118" t="s">
        <v>203</v>
      </c>
      <c r="AX17" s="123"/>
      <c r="AY17" s="123"/>
    </row>
    <row r="18" spans="2:51">
      <c r="C18" s="4">
        <v>13</v>
      </c>
    </row>
    <row r="19" spans="2:51" ht="21">
      <c r="E19" s="228" t="s">
        <v>218</v>
      </c>
      <c r="F19" s="228"/>
      <c r="G19" s="228"/>
      <c r="H19" s="228"/>
      <c r="I19" s="228"/>
      <c r="J19" s="228"/>
      <c r="K19" s="228"/>
      <c r="L19" s="228"/>
      <c r="M19" s="228"/>
    </row>
    <row r="20" spans="2:51" ht="21">
      <c r="E20" s="2" t="s">
        <v>219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2:51" ht="21">
      <c r="E21" s="2" t="s">
        <v>220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</sheetData>
  <protectedRanges>
    <protectedRange sqref="H5:I17 O5:P17 V5:W17 AC5:AD17 AH5:AK17 AQ5:AR17 AX5:AY17" name="ช่วง1"/>
    <protectedRange sqref="AD4:AY4 D4:AB4" name="ช่วง1_1"/>
    <protectedRange sqref="D2:AY2 H3" name="ช่วง1_2_1_1_2"/>
    <protectedRange sqref="D3:G3 AC4 I3:AY3" name="ช่วง1_2_1_1_1_1"/>
  </protectedRanges>
  <mergeCells count="15">
    <mergeCell ref="E19:M19"/>
    <mergeCell ref="D2:I2"/>
    <mergeCell ref="AS2:AY2"/>
    <mergeCell ref="AE1:AK1"/>
    <mergeCell ref="AE2:AK2"/>
    <mergeCell ref="D1:I1"/>
    <mergeCell ref="J1:P1"/>
    <mergeCell ref="AS1:AY1"/>
    <mergeCell ref="AL2:AR2"/>
    <mergeCell ref="AL1:AR1"/>
    <mergeCell ref="Q1:W1"/>
    <mergeCell ref="J2:P2"/>
    <mergeCell ref="X1:AD1"/>
    <mergeCell ref="Q2:W2"/>
    <mergeCell ref="X2:AD2"/>
  </mergeCells>
  <pageMargins left="0.7" right="0.7" top="0.75" bottom="0.75" header="0.3" footer="0.3"/>
  <pageSetup paperSize="9" scale="77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Y21"/>
  <sheetViews>
    <sheetView view="pageBreakPreview" topLeftCell="A5" zoomScale="90" zoomScaleNormal="100" zoomScaleSheetLayoutView="90" workbookViewId="0">
      <selection activeCell="D18" sqref="D18"/>
    </sheetView>
  </sheetViews>
  <sheetFormatPr defaultColWidth="9" defaultRowHeight="15.75"/>
  <cols>
    <col min="1" max="1" width="1.42578125" style="1" customWidth="1"/>
    <col min="2" max="2" width="6.85546875" style="4" customWidth="1"/>
    <col min="3" max="35" width="1.7109375" style="1" customWidth="1"/>
    <col min="36" max="36" width="1.5703125" style="1" customWidth="1"/>
    <col min="37" max="37" width="1.42578125" style="1" customWidth="1"/>
    <col min="38" max="38" width="1.28515625" style="1" customWidth="1"/>
    <col min="39" max="39" width="1.42578125" style="1" customWidth="1"/>
    <col min="40" max="40" width="1.28515625" style="1" customWidth="1"/>
    <col min="41" max="41" width="1.42578125" style="1" customWidth="1"/>
    <col min="42" max="44" width="1.7109375" style="1" customWidth="1"/>
    <col min="45" max="45" width="1.28515625" style="1" customWidth="1"/>
    <col min="46" max="47" width="1.7109375" style="1" customWidth="1"/>
    <col min="48" max="48" width="1.42578125" style="1" customWidth="1"/>
    <col min="49" max="49" width="1.5703125" style="1" customWidth="1"/>
    <col min="50" max="51" width="1.7109375" style="1" customWidth="1"/>
    <col min="52" max="16384" width="9" style="1"/>
  </cols>
  <sheetData>
    <row r="1" spans="2:51" ht="21">
      <c r="B1" s="164" t="s">
        <v>167</v>
      </c>
      <c r="C1" s="208">
        <v>12</v>
      </c>
      <c r="D1" s="208"/>
      <c r="E1" s="208"/>
      <c r="F1" s="208"/>
      <c r="G1" s="208"/>
      <c r="H1" s="208"/>
      <c r="I1" s="208"/>
      <c r="J1" s="208">
        <v>13</v>
      </c>
      <c r="K1" s="208"/>
      <c r="L1" s="208"/>
      <c r="M1" s="208"/>
      <c r="N1" s="208"/>
      <c r="O1" s="208"/>
      <c r="P1" s="208"/>
      <c r="Q1" s="208">
        <v>14</v>
      </c>
      <c r="R1" s="208"/>
      <c r="S1" s="208"/>
      <c r="T1" s="208"/>
      <c r="U1" s="208"/>
      <c r="V1" s="208"/>
      <c r="W1" s="208"/>
      <c r="X1" s="208">
        <v>15</v>
      </c>
      <c r="Y1" s="208"/>
      <c r="Z1" s="208"/>
      <c r="AA1" s="208"/>
      <c r="AB1" s="208"/>
      <c r="AC1" s="208"/>
      <c r="AD1" s="208"/>
      <c r="AE1" s="208">
        <v>16</v>
      </c>
      <c r="AF1" s="208"/>
      <c r="AG1" s="208"/>
      <c r="AH1" s="208"/>
      <c r="AI1" s="208"/>
      <c r="AJ1" s="208"/>
      <c r="AK1" s="208"/>
      <c r="AL1" s="208">
        <v>17</v>
      </c>
      <c r="AM1" s="208"/>
      <c r="AN1" s="208"/>
      <c r="AO1" s="208"/>
      <c r="AP1" s="208"/>
      <c r="AQ1" s="208"/>
      <c r="AR1" s="208"/>
      <c r="AS1" s="208">
        <v>18</v>
      </c>
      <c r="AT1" s="208"/>
      <c r="AU1" s="208"/>
      <c r="AV1" s="208"/>
      <c r="AW1" s="208"/>
      <c r="AX1" s="208"/>
      <c r="AY1" s="208"/>
    </row>
    <row r="2" spans="2:51" ht="21.75" customHeight="1">
      <c r="B2" s="164" t="s">
        <v>53</v>
      </c>
      <c r="C2" s="222" t="s">
        <v>221</v>
      </c>
      <c r="D2" s="222"/>
      <c r="E2" s="222"/>
      <c r="F2" s="222"/>
      <c r="G2" s="222"/>
      <c r="H2" s="222"/>
      <c r="I2" s="222"/>
      <c r="J2" s="222" t="s">
        <v>222</v>
      </c>
      <c r="K2" s="222"/>
      <c r="L2" s="222"/>
      <c r="M2" s="222"/>
      <c r="N2" s="222"/>
      <c r="O2" s="222"/>
      <c r="P2" s="222"/>
      <c r="Q2" s="222" t="s">
        <v>222</v>
      </c>
      <c r="R2" s="222"/>
      <c r="S2" s="222"/>
      <c r="T2" s="222"/>
      <c r="U2" s="222"/>
      <c r="V2" s="222"/>
      <c r="W2" s="222"/>
      <c r="X2" s="222" t="s">
        <v>222</v>
      </c>
      <c r="Y2" s="222"/>
      <c r="Z2" s="222"/>
      <c r="AA2" s="222"/>
      <c r="AB2" s="222"/>
      <c r="AC2" s="222"/>
      <c r="AD2" s="222"/>
      <c r="AE2" s="222" t="s">
        <v>222</v>
      </c>
      <c r="AF2" s="222"/>
      <c r="AG2" s="222"/>
      <c r="AH2" s="222"/>
      <c r="AI2" s="222"/>
      <c r="AJ2" s="222"/>
      <c r="AK2" s="222"/>
      <c r="AL2" s="222" t="s">
        <v>223</v>
      </c>
      <c r="AM2" s="222"/>
      <c r="AN2" s="222"/>
      <c r="AO2" s="222"/>
      <c r="AP2" s="222"/>
      <c r="AQ2" s="222"/>
      <c r="AR2" s="222"/>
      <c r="AS2" s="222" t="s">
        <v>223</v>
      </c>
      <c r="AT2" s="222"/>
      <c r="AU2" s="222"/>
      <c r="AV2" s="222"/>
      <c r="AW2" s="222"/>
      <c r="AX2" s="222"/>
      <c r="AY2" s="222"/>
    </row>
    <row r="3" spans="2:51" ht="18.75">
      <c r="B3" s="164" t="s">
        <v>52</v>
      </c>
      <c r="C3" s="69" t="s">
        <v>183</v>
      </c>
      <c r="D3" s="33" t="s">
        <v>184</v>
      </c>
      <c r="E3" s="33" t="s">
        <v>185</v>
      </c>
      <c r="F3" s="33" t="s">
        <v>186</v>
      </c>
      <c r="G3" s="33" t="s">
        <v>187</v>
      </c>
      <c r="H3" s="68" t="s">
        <v>188</v>
      </c>
      <c r="I3" s="68" t="s">
        <v>189</v>
      </c>
      <c r="J3" s="33" t="s">
        <v>190</v>
      </c>
      <c r="K3" s="33" t="s">
        <v>191</v>
      </c>
      <c r="L3" s="33" t="s">
        <v>192</v>
      </c>
      <c r="M3" s="33" t="s">
        <v>193</v>
      </c>
      <c r="N3" s="66" t="s">
        <v>194</v>
      </c>
      <c r="O3" s="68" t="s">
        <v>217</v>
      </c>
      <c r="P3" s="68" t="s">
        <v>211</v>
      </c>
      <c r="Q3" s="68" t="s">
        <v>212</v>
      </c>
      <c r="R3" s="145" t="s">
        <v>213</v>
      </c>
      <c r="S3" s="66" t="s">
        <v>214</v>
      </c>
      <c r="T3" s="66" t="s">
        <v>215</v>
      </c>
      <c r="U3" s="66" t="s">
        <v>216</v>
      </c>
      <c r="V3" s="68" t="s">
        <v>171</v>
      </c>
      <c r="W3" s="68" t="s">
        <v>172</v>
      </c>
      <c r="X3" s="66" t="s">
        <v>173</v>
      </c>
      <c r="Y3" s="66" t="s">
        <v>174</v>
      </c>
      <c r="Z3" s="66" t="s">
        <v>175</v>
      </c>
      <c r="AA3" s="66" t="s">
        <v>176</v>
      </c>
      <c r="AB3" s="66" t="s">
        <v>177</v>
      </c>
      <c r="AC3" s="68" t="s">
        <v>178</v>
      </c>
      <c r="AD3" s="68" t="s">
        <v>179</v>
      </c>
      <c r="AE3" s="66" t="s">
        <v>180</v>
      </c>
      <c r="AF3" s="66" t="s">
        <v>181</v>
      </c>
      <c r="AG3" s="66" t="s">
        <v>182</v>
      </c>
      <c r="AH3" s="66" t="s">
        <v>183</v>
      </c>
      <c r="AI3" s="66" t="s">
        <v>184</v>
      </c>
      <c r="AJ3" s="68" t="s">
        <v>185</v>
      </c>
      <c r="AK3" s="68" t="s">
        <v>186</v>
      </c>
      <c r="AL3" s="66" t="s">
        <v>187</v>
      </c>
      <c r="AM3" s="66" t="s">
        <v>188</v>
      </c>
      <c r="AN3" s="66" t="s">
        <v>189</v>
      </c>
      <c r="AO3" s="66" t="s">
        <v>190</v>
      </c>
      <c r="AP3" s="66" t="s">
        <v>191</v>
      </c>
      <c r="AQ3" s="68" t="s">
        <v>192</v>
      </c>
      <c r="AR3" s="68" t="s">
        <v>193</v>
      </c>
      <c r="AS3" s="21" t="s">
        <v>194</v>
      </c>
      <c r="AT3" s="33" t="s">
        <v>217</v>
      </c>
      <c r="AU3" s="33" t="s">
        <v>211</v>
      </c>
      <c r="AV3" s="33" t="s">
        <v>212</v>
      </c>
      <c r="AW3" s="33" t="s">
        <v>213</v>
      </c>
      <c r="AX3" s="68" t="s">
        <v>214</v>
      </c>
      <c r="AY3" s="68" t="s">
        <v>215</v>
      </c>
    </row>
    <row r="4" spans="2:51" ht="18.75">
      <c r="B4" s="164" t="s">
        <v>195</v>
      </c>
      <c r="C4" s="69" t="s">
        <v>199</v>
      </c>
      <c r="D4" s="21" t="s">
        <v>200</v>
      </c>
      <c r="E4" s="21" t="s">
        <v>201</v>
      </c>
      <c r="F4" s="21" t="s">
        <v>202</v>
      </c>
      <c r="G4" s="21" t="s">
        <v>196</v>
      </c>
      <c r="H4" s="69" t="s">
        <v>197</v>
      </c>
      <c r="I4" s="69" t="s">
        <v>198</v>
      </c>
      <c r="J4" s="21" t="s">
        <v>199</v>
      </c>
      <c r="K4" s="21" t="s">
        <v>200</v>
      </c>
      <c r="L4" s="21" t="s">
        <v>201</v>
      </c>
      <c r="M4" s="21" t="s">
        <v>202</v>
      </c>
      <c r="N4" s="67" t="s">
        <v>196</v>
      </c>
      <c r="O4" s="69" t="s">
        <v>197</v>
      </c>
      <c r="P4" s="69" t="s">
        <v>198</v>
      </c>
      <c r="Q4" s="67" t="s">
        <v>199</v>
      </c>
      <c r="R4" s="143" t="s">
        <v>200</v>
      </c>
      <c r="S4" s="67" t="s">
        <v>201</v>
      </c>
      <c r="T4" s="67" t="s">
        <v>202</v>
      </c>
      <c r="U4" s="67" t="s">
        <v>196</v>
      </c>
      <c r="V4" s="69" t="s">
        <v>197</v>
      </c>
      <c r="W4" s="69" t="s">
        <v>198</v>
      </c>
      <c r="X4" s="67" t="s">
        <v>199</v>
      </c>
      <c r="Y4" s="67" t="s">
        <v>200</v>
      </c>
      <c r="Z4" s="67" t="s">
        <v>201</v>
      </c>
      <c r="AA4" s="67" t="s">
        <v>202</v>
      </c>
      <c r="AB4" s="67" t="s">
        <v>196</v>
      </c>
      <c r="AC4" s="69" t="s">
        <v>197</v>
      </c>
      <c r="AD4" s="69" t="s">
        <v>198</v>
      </c>
      <c r="AE4" s="67" t="s">
        <v>199</v>
      </c>
      <c r="AF4" s="67" t="s">
        <v>200</v>
      </c>
      <c r="AG4" s="67" t="s">
        <v>201</v>
      </c>
      <c r="AH4" s="67" t="s">
        <v>202</v>
      </c>
      <c r="AI4" s="67" t="s">
        <v>196</v>
      </c>
      <c r="AJ4" s="69" t="s">
        <v>197</v>
      </c>
      <c r="AK4" s="69" t="s">
        <v>198</v>
      </c>
      <c r="AL4" s="67" t="s">
        <v>199</v>
      </c>
      <c r="AM4" s="67" t="s">
        <v>200</v>
      </c>
      <c r="AN4" s="67" t="s">
        <v>201</v>
      </c>
      <c r="AO4" s="67" t="s">
        <v>202</v>
      </c>
      <c r="AP4" s="67" t="s">
        <v>196</v>
      </c>
      <c r="AQ4" s="69" t="s">
        <v>197</v>
      </c>
      <c r="AR4" s="69" t="s">
        <v>198</v>
      </c>
      <c r="AS4" s="67" t="s">
        <v>199</v>
      </c>
      <c r="AT4" s="67" t="s">
        <v>200</v>
      </c>
      <c r="AU4" s="67" t="s">
        <v>201</v>
      </c>
      <c r="AV4" s="67" t="s">
        <v>202</v>
      </c>
      <c r="AW4" s="67" t="s">
        <v>196</v>
      </c>
      <c r="AX4" s="69" t="s">
        <v>197</v>
      </c>
      <c r="AY4" s="69" t="s">
        <v>200</v>
      </c>
    </row>
    <row r="5" spans="2:51" ht="18.75">
      <c r="B5" s="118">
        <v>1</v>
      </c>
      <c r="C5" s="142"/>
      <c r="D5" s="118" t="s">
        <v>203</v>
      </c>
      <c r="E5" s="118" t="s">
        <v>203</v>
      </c>
      <c r="F5" s="118" t="s">
        <v>203</v>
      </c>
      <c r="G5" s="118" t="s">
        <v>203</v>
      </c>
      <c r="H5" s="123"/>
      <c r="I5" s="123"/>
      <c r="J5" s="118" t="s">
        <v>203</v>
      </c>
      <c r="K5" s="118" t="s">
        <v>203</v>
      </c>
      <c r="L5" s="118" t="s">
        <v>203</v>
      </c>
      <c r="M5" s="118" t="s">
        <v>203</v>
      </c>
      <c r="N5" s="118" t="s">
        <v>203</v>
      </c>
      <c r="O5" s="123"/>
      <c r="P5" s="123"/>
      <c r="Q5" s="118" t="s">
        <v>203</v>
      </c>
      <c r="R5" s="146"/>
      <c r="S5" s="118" t="s">
        <v>203</v>
      </c>
      <c r="T5" s="118" t="s">
        <v>203</v>
      </c>
      <c r="U5" s="118" t="s">
        <v>203</v>
      </c>
      <c r="V5" s="123"/>
      <c r="W5" s="123"/>
      <c r="X5" s="118" t="s">
        <v>203</v>
      </c>
      <c r="Y5" s="118" t="s">
        <v>203</v>
      </c>
      <c r="Z5" s="118" t="s">
        <v>205</v>
      </c>
      <c r="AA5" s="118" t="s">
        <v>203</v>
      </c>
      <c r="AB5" s="118" t="s">
        <v>203</v>
      </c>
      <c r="AC5" s="123"/>
      <c r="AD5" s="123"/>
      <c r="AE5" s="118" t="s">
        <v>203</v>
      </c>
      <c r="AF5" s="118" t="s">
        <v>203</v>
      </c>
      <c r="AG5" s="118" t="s">
        <v>203</v>
      </c>
      <c r="AH5" s="118" t="s">
        <v>203</v>
      </c>
      <c r="AI5" s="118" t="s">
        <v>203</v>
      </c>
      <c r="AJ5" s="123"/>
      <c r="AK5" s="123"/>
      <c r="AL5" s="118" t="s">
        <v>203</v>
      </c>
      <c r="AM5" s="118" t="s">
        <v>203</v>
      </c>
      <c r="AN5" s="118" t="s">
        <v>203</v>
      </c>
      <c r="AO5" s="118" t="s">
        <v>203</v>
      </c>
      <c r="AP5" s="118" t="s">
        <v>203</v>
      </c>
      <c r="AQ5" s="123"/>
      <c r="AR5" s="123"/>
      <c r="AS5" s="118" t="s">
        <v>203</v>
      </c>
      <c r="AT5" s="118" t="s">
        <v>203</v>
      </c>
      <c r="AU5" s="118" t="s">
        <v>203</v>
      </c>
      <c r="AV5" s="118" t="s">
        <v>203</v>
      </c>
      <c r="AW5" s="118" t="s">
        <v>203</v>
      </c>
      <c r="AX5" s="123"/>
      <c r="AY5" s="123"/>
    </row>
    <row r="6" spans="2:51" ht="18.75">
      <c r="B6" s="118">
        <v>2</v>
      </c>
      <c r="C6" s="142"/>
      <c r="D6" s="118" t="s">
        <v>203</v>
      </c>
      <c r="E6" s="118" t="s">
        <v>203</v>
      </c>
      <c r="F6" s="118" t="s">
        <v>203</v>
      </c>
      <c r="G6" s="118" t="s">
        <v>203</v>
      </c>
      <c r="H6" s="123"/>
      <c r="I6" s="123"/>
      <c r="J6" s="118" t="s">
        <v>203</v>
      </c>
      <c r="K6" s="118" t="s">
        <v>203</v>
      </c>
      <c r="L6" s="118" t="s">
        <v>203</v>
      </c>
      <c r="M6" s="118" t="s">
        <v>203</v>
      </c>
      <c r="N6" s="118" t="s">
        <v>203</v>
      </c>
      <c r="O6" s="123"/>
      <c r="P6" s="123"/>
      <c r="Q6" s="118" t="s">
        <v>203</v>
      </c>
      <c r="R6" s="146"/>
      <c r="S6" s="118" t="s">
        <v>203</v>
      </c>
      <c r="T6" s="118" t="s">
        <v>203</v>
      </c>
      <c r="U6" s="118" t="s">
        <v>203</v>
      </c>
      <c r="V6" s="123"/>
      <c r="W6" s="123"/>
      <c r="X6" s="118" t="s">
        <v>203</v>
      </c>
      <c r="Y6" s="118" t="s">
        <v>203</v>
      </c>
      <c r="Z6" s="118" t="s">
        <v>203</v>
      </c>
      <c r="AA6" s="118" t="s">
        <v>203</v>
      </c>
      <c r="AB6" s="118" t="s">
        <v>203</v>
      </c>
      <c r="AC6" s="123"/>
      <c r="AD6" s="123"/>
      <c r="AE6" s="118" t="s">
        <v>203</v>
      </c>
      <c r="AF6" s="118" t="s">
        <v>203</v>
      </c>
      <c r="AG6" s="118" t="s">
        <v>203</v>
      </c>
      <c r="AH6" s="118" t="s">
        <v>203</v>
      </c>
      <c r="AI6" s="118" t="s">
        <v>203</v>
      </c>
      <c r="AJ6" s="123"/>
      <c r="AK6" s="123"/>
      <c r="AL6" s="118" t="s">
        <v>203</v>
      </c>
      <c r="AM6" s="118" t="s">
        <v>203</v>
      </c>
      <c r="AN6" s="118" t="s">
        <v>203</v>
      </c>
      <c r="AO6" s="118" t="s">
        <v>203</v>
      </c>
      <c r="AP6" s="118" t="s">
        <v>203</v>
      </c>
      <c r="AQ6" s="123"/>
      <c r="AR6" s="123"/>
      <c r="AS6" s="118" t="s">
        <v>203</v>
      </c>
      <c r="AT6" s="118" t="s">
        <v>203</v>
      </c>
      <c r="AU6" s="118" t="s">
        <v>203</v>
      </c>
      <c r="AV6" s="118" t="s">
        <v>203</v>
      </c>
      <c r="AW6" s="118" t="s">
        <v>203</v>
      </c>
      <c r="AX6" s="123"/>
      <c r="AY6" s="123"/>
    </row>
    <row r="7" spans="2:51" ht="18.75">
      <c r="B7" s="118">
        <v>3</v>
      </c>
      <c r="C7" s="142"/>
      <c r="D7" s="118" t="s">
        <v>203</v>
      </c>
      <c r="E7" s="118" t="s">
        <v>203</v>
      </c>
      <c r="F7" s="118" t="s">
        <v>203</v>
      </c>
      <c r="G7" s="118" t="s">
        <v>203</v>
      </c>
      <c r="H7" s="123"/>
      <c r="I7" s="123"/>
      <c r="J7" s="118" t="s">
        <v>203</v>
      </c>
      <c r="K7" s="118" t="s">
        <v>203</v>
      </c>
      <c r="L7" s="118" t="s">
        <v>203</v>
      </c>
      <c r="M7" s="118" t="s">
        <v>203</v>
      </c>
      <c r="N7" s="118" t="s">
        <v>203</v>
      </c>
      <c r="O7" s="123"/>
      <c r="P7" s="123"/>
      <c r="Q7" s="118" t="s">
        <v>203</v>
      </c>
      <c r="R7" s="146"/>
      <c r="S7" s="118" t="s">
        <v>203</v>
      </c>
      <c r="T7" s="118" t="s">
        <v>203</v>
      </c>
      <c r="U7" s="118" t="s">
        <v>203</v>
      </c>
      <c r="V7" s="123"/>
      <c r="W7" s="123"/>
      <c r="X7" s="118" t="s">
        <v>203</v>
      </c>
      <c r="Y7" s="118" t="s">
        <v>203</v>
      </c>
      <c r="Z7" s="118" t="s">
        <v>203</v>
      </c>
      <c r="AA7" s="118" t="s">
        <v>203</v>
      </c>
      <c r="AB7" s="118" t="s">
        <v>203</v>
      </c>
      <c r="AC7" s="123"/>
      <c r="AD7" s="123"/>
      <c r="AE7" s="118" t="s">
        <v>203</v>
      </c>
      <c r="AF7" s="118" t="s">
        <v>203</v>
      </c>
      <c r="AG7" s="118" t="s">
        <v>203</v>
      </c>
      <c r="AH7" s="118" t="s">
        <v>203</v>
      </c>
      <c r="AI7" s="118" t="s">
        <v>203</v>
      </c>
      <c r="AJ7" s="123"/>
      <c r="AK7" s="123"/>
      <c r="AL7" s="118" t="s">
        <v>203</v>
      </c>
      <c r="AM7" s="118" t="s">
        <v>203</v>
      </c>
      <c r="AN7" s="118" t="s">
        <v>203</v>
      </c>
      <c r="AO7" s="118" t="s">
        <v>203</v>
      </c>
      <c r="AP7" s="118" t="s">
        <v>203</v>
      </c>
      <c r="AQ7" s="123"/>
      <c r="AR7" s="123"/>
      <c r="AS7" s="118" t="s">
        <v>203</v>
      </c>
      <c r="AT7" s="118" t="s">
        <v>203</v>
      </c>
      <c r="AU7" s="118" t="s">
        <v>203</v>
      </c>
      <c r="AV7" s="118" t="s">
        <v>203</v>
      </c>
      <c r="AW7" s="118" t="s">
        <v>203</v>
      </c>
      <c r="AX7" s="123"/>
      <c r="AY7" s="123"/>
    </row>
    <row r="8" spans="2:51" ht="18.75">
      <c r="B8" s="118">
        <v>4</v>
      </c>
      <c r="C8" s="142"/>
      <c r="D8" s="118" t="s">
        <v>203</v>
      </c>
      <c r="E8" s="118" t="s">
        <v>203</v>
      </c>
      <c r="F8" s="118" t="s">
        <v>203</v>
      </c>
      <c r="G8" s="118" t="s">
        <v>203</v>
      </c>
      <c r="H8" s="123"/>
      <c r="I8" s="123"/>
      <c r="J8" s="118" t="s">
        <v>203</v>
      </c>
      <c r="K8" s="118" t="s">
        <v>203</v>
      </c>
      <c r="L8" s="118" t="s">
        <v>203</v>
      </c>
      <c r="M8" s="118" t="s">
        <v>203</v>
      </c>
      <c r="N8" s="118" t="s">
        <v>203</v>
      </c>
      <c r="O8" s="123"/>
      <c r="P8" s="123"/>
      <c r="Q8" s="118" t="s">
        <v>203</v>
      </c>
      <c r="R8" s="146"/>
      <c r="S8" s="118" t="s">
        <v>203</v>
      </c>
      <c r="T8" s="118" t="s">
        <v>203</v>
      </c>
      <c r="U8" s="118" t="s">
        <v>203</v>
      </c>
      <c r="V8" s="123"/>
      <c r="W8" s="123"/>
      <c r="X8" s="118" t="s">
        <v>203</v>
      </c>
      <c r="Y8" s="118" t="s">
        <v>203</v>
      </c>
      <c r="Z8" s="118" t="s">
        <v>203</v>
      </c>
      <c r="AA8" s="118" t="s">
        <v>203</v>
      </c>
      <c r="AB8" s="118" t="s">
        <v>203</v>
      </c>
      <c r="AC8" s="123"/>
      <c r="AD8" s="123"/>
      <c r="AE8" s="118" t="s">
        <v>203</v>
      </c>
      <c r="AF8" s="118" t="s">
        <v>203</v>
      </c>
      <c r="AG8" s="118" t="s">
        <v>203</v>
      </c>
      <c r="AH8" s="118" t="s">
        <v>203</v>
      </c>
      <c r="AI8" s="118" t="s">
        <v>203</v>
      </c>
      <c r="AJ8" s="123"/>
      <c r="AK8" s="123"/>
      <c r="AL8" s="118" t="s">
        <v>203</v>
      </c>
      <c r="AM8" s="118" t="s">
        <v>203</v>
      </c>
      <c r="AN8" s="118" t="s">
        <v>203</v>
      </c>
      <c r="AO8" s="118" t="s">
        <v>203</v>
      </c>
      <c r="AP8" s="118" t="s">
        <v>203</v>
      </c>
      <c r="AQ8" s="123"/>
      <c r="AR8" s="123"/>
      <c r="AS8" s="118" t="s">
        <v>203</v>
      </c>
      <c r="AT8" s="118" t="s">
        <v>203</v>
      </c>
      <c r="AU8" s="118" t="s">
        <v>205</v>
      </c>
      <c r="AV8" s="118" t="s">
        <v>203</v>
      </c>
      <c r="AW8" s="118" t="s">
        <v>203</v>
      </c>
      <c r="AX8" s="123"/>
      <c r="AY8" s="123"/>
    </row>
    <row r="9" spans="2:51" ht="18.75">
      <c r="B9" s="118">
        <v>5</v>
      </c>
      <c r="C9" s="142"/>
      <c r="D9" s="118" t="s">
        <v>203</v>
      </c>
      <c r="E9" s="118" t="s">
        <v>203</v>
      </c>
      <c r="F9" s="118" t="s">
        <v>204</v>
      </c>
      <c r="G9" s="118" t="s">
        <v>203</v>
      </c>
      <c r="H9" s="123"/>
      <c r="I9" s="123"/>
      <c r="J9" s="118" t="s">
        <v>203</v>
      </c>
      <c r="K9" s="118" t="s">
        <v>203</v>
      </c>
      <c r="L9" s="118" t="s">
        <v>203</v>
      </c>
      <c r="M9" s="118" t="s">
        <v>203</v>
      </c>
      <c r="N9" s="118" t="s">
        <v>203</v>
      </c>
      <c r="O9" s="123"/>
      <c r="P9" s="123"/>
      <c r="Q9" s="118" t="s">
        <v>203</v>
      </c>
      <c r="R9" s="146"/>
      <c r="S9" s="118" t="s">
        <v>203</v>
      </c>
      <c r="T9" s="118" t="s">
        <v>203</v>
      </c>
      <c r="U9" s="118" t="s">
        <v>203</v>
      </c>
      <c r="V9" s="123"/>
      <c r="W9" s="123"/>
      <c r="X9" s="118" t="s">
        <v>203</v>
      </c>
      <c r="Y9" s="118" t="s">
        <v>203</v>
      </c>
      <c r="Z9" s="118" t="s">
        <v>203</v>
      </c>
      <c r="AA9" s="118" t="s">
        <v>203</v>
      </c>
      <c r="AB9" s="118" t="s">
        <v>203</v>
      </c>
      <c r="AC9" s="123"/>
      <c r="AD9" s="123"/>
      <c r="AE9" s="118" t="s">
        <v>203</v>
      </c>
      <c r="AF9" s="118" t="s">
        <v>203</v>
      </c>
      <c r="AG9" s="118" t="s">
        <v>203</v>
      </c>
      <c r="AH9" s="118" t="s">
        <v>203</v>
      </c>
      <c r="AI9" s="118" t="s">
        <v>203</v>
      </c>
      <c r="AJ9" s="123"/>
      <c r="AK9" s="123"/>
      <c r="AL9" s="118" t="s">
        <v>203</v>
      </c>
      <c r="AM9" s="118" t="s">
        <v>203</v>
      </c>
      <c r="AN9" s="118" t="s">
        <v>203</v>
      </c>
      <c r="AO9" s="118" t="s">
        <v>203</v>
      </c>
      <c r="AP9" s="118" t="s">
        <v>203</v>
      </c>
      <c r="AQ9" s="123"/>
      <c r="AR9" s="123"/>
      <c r="AS9" s="118" t="s">
        <v>203</v>
      </c>
      <c r="AT9" s="118" t="s">
        <v>203</v>
      </c>
      <c r="AU9" s="118" t="s">
        <v>203</v>
      </c>
      <c r="AV9" s="118" t="s">
        <v>203</v>
      </c>
      <c r="AW9" s="118" t="s">
        <v>203</v>
      </c>
      <c r="AX9" s="123"/>
      <c r="AY9" s="123"/>
    </row>
    <row r="10" spans="2:51" ht="18.75">
      <c r="B10" s="118">
        <v>6</v>
      </c>
      <c r="C10" s="142"/>
      <c r="D10" s="118" t="s">
        <v>203</v>
      </c>
      <c r="E10" s="118" t="s">
        <v>203</v>
      </c>
      <c r="F10" s="118" t="s">
        <v>203</v>
      </c>
      <c r="G10" s="118" t="s">
        <v>203</v>
      </c>
      <c r="H10" s="123"/>
      <c r="I10" s="123"/>
      <c r="J10" s="118" t="s">
        <v>203</v>
      </c>
      <c r="K10" s="118" t="s">
        <v>203</v>
      </c>
      <c r="L10" s="118" t="s">
        <v>203</v>
      </c>
      <c r="M10" s="118" t="s">
        <v>203</v>
      </c>
      <c r="N10" s="118" t="s">
        <v>203</v>
      </c>
      <c r="O10" s="123"/>
      <c r="P10" s="123"/>
      <c r="Q10" s="118" t="s">
        <v>203</v>
      </c>
      <c r="R10" s="146"/>
      <c r="S10" s="118" t="s">
        <v>203</v>
      </c>
      <c r="T10" s="118" t="s">
        <v>203</v>
      </c>
      <c r="U10" s="118" t="s">
        <v>203</v>
      </c>
      <c r="V10" s="123"/>
      <c r="W10" s="123"/>
      <c r="X10" s="118" t="s">
        <v>203</v>
      </c>
      <c r="Y10" s="118" t="s">
        <v>203</v>
      </c>
      <c r="Z10" s="118" t="s">
        <v>203</v>
      </c>
      <c r="AA10" s="118" t="s">
        <v>203</v>
      </c>
      <c r="AB10" s="118" t="s">
        <v>203</v>
      </c>
      <c r="AC10" s="123"/>
      <c r="AD10" s="123"/>
      <c r="AE10" s="118" t="s">
        <v>203</v>
      </c>
      <c r="AF10" s="118" t="s">
        <v>203</v>
      </c>
      <c r="AG10" s="118" t="s">
        <v>203</v>
      </c>
      <c r="AH10" s="118" t="s">
        <v>203</v>
      </c>
      <c r="AI10" s="118" t="s">
        <v>203</v>
      </c>
      <c r="AJ10" s="123"/>
      <c r="AK10" s="123"/>
      <c r="AL10" s="118" t="s">
        <v>203</v>
      </c>
      <c r="AM10" s="118" t="s">
        <v>203</v>
      </c>
      <c r="AN10" s="118" t="s">
        <v>203</v>
      </c>
      <c r="AO10" s="118" t="s">
        <v>203</v>
      </c>
      <c r="AP10" s="118" t="s">
        <v>203</v>
      </c>
      <c r="AQ10" s="123"/>
      <c r="AR10" s="123"/>
      <c r="AS10" s="118" t="s">
        <v>203</v>
      </c>
      <c r="AT10" s="118" t="s">
        <v>203</v>
      </c>
      <c r="AU10" s="118" t="s">
        <v>203</v>
      </c>
      <c r="AV10" s="118" t="s">
        <v>203</v>
      </c>
      <c r="AW10" s="118" t="s">
        <v>203</v>
      </c>
      <c r="AX10" s="123"/>
      <c r="AY10" s="123"/>
    </row>
    <row r="11" spans="2:51" ht="18.75">
      <c r="B11" s="118">
        <v>7</v>
      </c>
      <c r="C11" s="142"/>
      <c r="D11" s="118" t="s">
        <v>203</v>
      </c>
      <c r="E11" s="118" t="s">
        <v>203</v>
      </c>
      <c r="F11" s="118" t="s">
        <v>203</v>
      </c>
      <c r="G11" s="118" t="s">
        <v>203</v>
      </c>
      <c r="H11" s="123"/>
      <c r="I11" s="123"/>
      <c r="J11" s="118" t="s">
        <v>203</v>
      </c>
      <c r="K11" s="118" t="s">
        <v>203</v>
      </c>
      <c r="L11" s="118" t="s">
        <v>203</v>
      </c>
      <c r="M11" s="118" t="s">
        <v>203</v>
      </c>
      <c r="N11" s="118" t="s">
        <v>203</v>
      </c>
      <c r="O11" s="123"/>
      <c r="P11" s="123"/>
      <c r="Q11" s="118" t="s">
        <v>203</v>
      </c>
      <c r="R11" s="146"/>
      <c r="S11" s="118" t="s">
        <v>203</v>
      </c>
      <c r="T11" s="118" t="s">
        <v>205</v>
      </c>
      <c r="U11" s="118" t="s">
        <v>203</v>
      </c>
      <c r="V11" s="123"/>
      <c r="W11" s="123"/>
      <c r="X11" s="118" t="s">
        <v>203</v>
      </c>
      <c r="Y11" s="118" t="s">
        <v>203</v>
      </c>
      <c r="Z11" s="118" t="s">
        <v>203</v>
      </c>
      <c r="AA11" s="118" t="s">
        <v>203</v>
      </c>
      <c r="AB11" s="118" t="s">
        <v>203</v>
      </c>
      <c r="AC11" s="123"/>
      <c r="AD11" s="123"/>
      <c r="AE11" s="118" t="s">
        <v>203</v>
      </c>
      <c r="AF11" s="118" t="s">
        <v>203</v>
      </c>
      <c r="AG11" s="118" t="s">
        <v>203</v>
      </c>
      <c r="AH11" s="118" t="s">
        <v>203</v>
      </c>
      <c r="AI11" s="118" t="s">
        <v>203</v>
      </c>
      <c r="AJ11" s="123"/>
      <c r="AK11" s="123"/>
      <c r="AL11" s="118" t="s">
        <v>203</v>
      </c>
      <c r="AM11" s="118" t="s">
        <v>203</v>
      </c>
      <c r="AN11" s="118" t="s">
        <v>203</v>
      </c>
      <c r="AO11" s="118" t="s">
        <v>203</v>
      </c>
      <c r="AP11" s="118" t="s">
        <v>203</v>
      </c>
      <c r="AQ11" s="123"/>
      <c r="AR11" s="123"/>
      <c r="AS11" s="118" t="s">
        <v>203</v>
      </c>
      <c r="AT11" s="118" t="s">
        <v>203</v>
      </c>
      <c r="AU11" s="118" t="s">
        <v>203</v>
      </c>
      <c r="AV11" s="118" t="s">
        <v>203</v>
      </c>
      <c r="AW11" s="118" t="s">
        <v>203</v>
      </c>
      <c r="AX11" s="123"/>
      <c r="AY11" s="123"/>
    </row>
    <row r="12" spans="2:51" ht="18.75">
      <c r="B12" s="118">
        <v>8</v>
      </c>
      <c r="C12" s="142"/>
      <c r="D12" s="118" t="s">
        <v>203</v>
      </c>
      <c r="E12" s="118" t="s">
        <v>203</v>
      </c>
      <c r="F12" s="118" t="s">
        <v>203</v>
      </c>
      <c r="G12" s="118" t="s">
        <v>203</v>
      </c>
      <c r="H12" s="123"/>
      <c r="I12" s="123"/>
      <c r="J12" s="118" t="s">
        <v>203</v>
      </c>
      <c r="K12" s="118" t="s">
        <v>203</v>
      </c>
      <c r="L12" s="118" t="s">
        <v>203</v>
      </c>
      <c r="M12" s="118" t="s">
        <v>203</v>
      </c>
      <c r="N12" s="118" t="s">
        <v>203</v>
      </c>
      <c r="O12" s="123"/>
      <c r="P12" s="123"/>
      <c r="Q12" s="118" t="s">
        <v>203</v>
      </c>
      <c r="R12" s="146"/>
      <c r="S12" s="118" t="s">
        <v>203</v>
      </c>
      <c r="T12" s="118" t="s">
        <v>203</v>
      </c>
      <c r="U12" s="118" t="s">
        <v>203</v>
      </c>
      <c r="V12" s="123"/>
      <c r="W12" s="123"/>
      <c r="X12" s="118" t="s">
        <v>203</v>
      </c>
      <c r="Y12" s="118" t="s">
        <v>203</v>
      </c>
      <c r="Z12" s="118" t="s">
        <v>203</v>
      </c>
      <c r="AA12" s="118" t="s">
        <v>203</v>
      </c>
      <c r="AB12" s="118" t="s">
        <v>203</v>
      </c>
      <c r="AC12" s="123"/>
      <c r="AD12" s="123"/>
      <c r="AE12" s="118" t="s">
        <v>203</v>
      </c>
      <c r="AF12" s="118" t="s">
        <v>203</v>
      </c>
      <c r="AG12" s="118" t="s">
        <v>203</v>
      </c>
      <c r="AH12" s="118" t="s">
        <v>203</v>
      </c>
      <c r="AI12" s="118" t="s">
        <v>203</v>
      </c>
      <c r="AJ12" s="123"/>
      <c r="AK12" s="123"/>
      <c r="AL12" s="118" t="s">
        <v>203</v>
      </c>
      <c r="AM12" s="118" t="s">
        <v>203</v>
      </c>
      <c r="AN12" s="118" t="s">
        <v>203</v>
      </c>
      <c r="AO12" s="118" t="s">
        <v>203</v>
      </c>
      <c r="AP12" s="118" t="s">
        <v>203</v>
      </c>
      <c r="AQ12" s="123"/>
      <c r="AR12" s="123"/>
      <c r="AS12" s="118" t="s">
        <v>203</v>
      </c>
      <c r="AT12" s="118" t="s">
        <v>203</v>
      </c>
      <c r="AU12" s="118" t="s">
        <v>203</v>
      </c>
      <c r="AV12" s="118" t="s">
        <v>203</v>
      </c>
      <c r="AW12" s="118" t="s">
        <v>203</v>
      </c>
      <c r="AX12" s="123"/>
      <c r="AY12" s="123"/>
    </row>
    <row r="13" spans="2:51" ht="18.75">
      <c r="B13" s="118">
        <v>9</v>
      </c>
      <c r="C13" s="142"/>
      <c r="D13" s="118" t="s">
        <v>203</v>
      </c>
      <c r="E13" s="118" t="s">
        <v>203</v>
      </c>
      <c r="F13" s="118" t="s">
        <v>203</v>
      </c>
      <c r="G13" s="118" t="s">
        <v>203</v>
      </c>
      <c r="H13" s="123"/>
      <c r="I13" s="123"/>
      <c r="J13" s="118" t="s">
        <v>203</v>
      </c>
      <c r="K13" s="118" t="s">
        <v>203</v>
      </c>
      <c r="L13" s="118" t="s">
        <v>203</v>
      </c>
      <c r="M13" s="118" t="s">
        <v>203</v>
      </c>
      <c r="N13" s="118" t="s">
        <v>203</v>
      </c>
      <c r="O13" s="123"/>
      <c r="P13" s="123"/>
      <c r="Q13" s="118" t="s">
        <v>203</v>
      </c>
      <c r="R13" s="146"/>
      <c r="S13" s="118" t="s">
        <v>203</v>
      </c>
      <c r="T13" s="118" t="s">
        <v>203</v>
      </c>
      <c r="U13" s="118" t="s">
        <v>203</v>
      </c>
      <c r="V13" s="123"/>
      <c r="W13" s="123"/>
      <c r="X13" s="118" t="s">
        <v>203</v>
      </c>
      <c r="Y13" s="118" t="s">
        <v>203</v>
      </c>
      <c r="Z13" s="118" t="s">
        <v>203</v>
      </c>
      <c r="AA13" s="118" t="s">
        <v>203</v>
      </c>
      <c r="AB13" s="118" t="s">
        <v>203</v>
      </c>
      <c r="AC13" s="123"/>
      <c r="AD13" s="123"/>
      <c r="AE13" s="118" t="s">
        <v>203</v>
      </c>
      <c r="AF13" s="118" t="s">
        <v>203</v>
      </c>
      <c r="AG13" s="118" t="s">
        <v>203</v>
      </c>
      <c r="AH13" s="118" t="s">
        <v>203</v>
      </c>
      <c r="AI13" s="118" t="s">
        <v>203</v>
      </c>
      <c r="AJ13" s="123"/>
      <c r="AK13" s="123"/>
      <c r="AL13" s="118" t="s">
        <v>203</v>
      </c>
      <c r="AM13" s="118" t="s">
        <v>203</v>
      </c>
      <c r="AN13" s="118" t="s">
        <v>203</v>
      </c>
      <c r="AO13" s="168" t="s">
        <v>205</v>
      </c>
      <c r="AP13" s="118" t="s">
        <v>203</v>
      </c>
      <c r="AQ13" s="123"/>
      <c r="AR13" s="123"/>
      <c r="AS13" s="118" t="s">
        <v>203</v>
      </c>
      <c r="AT13" s="118" t="s">
        <v>203</v>
      </c>
      <c r="AU13" s="118" t="s">
        <v>203</v>
      </c>
      <c r="AV13" s="118" t="s">
        <v>203</v>
      </c>
      <c r="AW13" s="118" t="s">
        <v>203</v>
      </c>
      <c r="AX13" s="123"/>
      <c r="AY13" s="123"/>
    </row>
    <row r="14" spans="2:51" ht="18.75">
      <c r="B14" s="118">
        <v>10</v>
      </c>
      <c r="C14" s="142"/>
      <c r="D14" s="118" t="s">
        <v>203</v>
      </c>
      <c r="E14" s="118" t="s">
        <v>203</v>
      </c>
      <c r="F14" s="118" t="s">
        <v>203</v>
      </c>
      <c r="G14" s="118" t="s">
        <v>203</v>
      </c>
      <c r="H14" s="123"/>
      <c r="I14" s="123"/>
      <c r="J14" s="118" t="s">
        <v>203</v>
      </c>
      <c r="K14" s="118" t="s">
        <v>203</v>
      </c>
      <c r="L14" s="118" t="s">
        <v>203</v>
      </c>
      <c r="M14" s="118" t="s">
        <v>203</v>
      </c>
      <c r="N14" s="118" t="s">
        <v>203</v>
      </c>
      <c r="O14" s="123"/>
      <c r="P14" s="123"/>
      <c r="Q14" s="118" t="s">
        <v>203</v>
      </c>
      <c r="R14" s="146"/>
      <c r="S14" s="118" t="s">
        <v>203</v>
      </c>
      <c r="T14" s="118" t="s">
        <v>203</v>
      </c>
      <c r="U14" s="118" t="s">
        <v>203</v>
      </c>
      <c r="V14" s="123"/>
      <c r="W14" s="123"/>
      <c r="X14" s="118" t="s">
        <v>203</v>
      </c>
      <c r="Y14" s="118" t="s">
        <v>203</v>
      </c>
      <c r="Z14" s="118" t="s">
        <v>203</v>
      </c>
      <c r="AA14" s="118" t="s">
        <v>203</v>
      </c>
      <c r="AB14" s="118" t="s">
        <v>203</v>
      </c>
      <c r="AC14" s="123"/>
      <c r="AD14" s="123"/>
      <c r="AE14" s="118" t="s">
        <v>203</v>
      </c>
      <c r="AF14" s="118" t="s">
        <v>203</v>
      </c>
      <c r="AG14" s="118" t="s">
        <v>203</v>
      </c>
      <c r="AH14" s="118" t="s">
        <v>203</v>
      </c>
      <c r="AI14" s="118" t="s">
        <v>203</v>
      </c>
      <c r="AJ14" s="123"/>
      <c r="AK14" s="123"/>
      <c r="AL14" s="118" t="s">
        <v>203</v>
      </c>
      <c r="AM14" s="118" t="s">
        <v>203</v>
      </c>
      <c r="AN14" s="118" t="s">
        <v>203</v>
      </c>
      <c r="AO14" s="118" t="s">
        <v>203</v>
      </c>
      <c r="AP14" s="118" t="s">
        <v>203</v>
      </c>
      <c r="AQ14" s="123"/>
      <c r="AR14" s="123"/>
      <c r="AS14" s="118" t="s">
        <v>203</v>
      </c>
      <c r="AT14" s="118" t="s">
        <v>203</v>
      </c>
      <c r="AU14" s="118" t="s">
        <v>203</v>
      </c>
      <c r="AV14" s="118" t="s">
        <v>203</v>
      </c>
      <c r="AW14" s="118" t="s">
        <v>203</v>
      </c>
      <c r="AX14" s="123"/>
      <c r="AY14" s="123"/>
    </row>
    <row r="15" spans="2:51" ht="18.75">
      <c r="B15" s="118">
        <v>11</v>
      </c>
      <c r="C15" s="142"/>
      <c r="D15" s="118" t="s">
        <v>203</v>
      </c>
      <c r="E15" s="118" t="s">
        <v>203</v>
      </c>
      <c r="F15" s="118" t="s">
        <v>203</v>
      </c>
      <c r="G15" s="118" t="s">
        <v>203</v>
      </c>
      <c r="H15" s="123"/>
      <c r="I15" s="123"/>
      <c r="J15" s="118" t="s">
        <v>203</v>
      </c>
      <c r="K15" s="118" t="s">
        <v>203</v>
      </c>
      <c r="L15" s="118" t="s">
        <v>203</v>
      </c>
      <c r="M15" s="118" t="s">
        <v>203</v>
      </c>
      <c r="N15" s="118" t="s">
        <v>203</v>
      </c>
      <c r="O15" s="123"/>
      <c r="P15" s="123"/>
      <c r="Q15" s="118" t="s">
        <v>203</v>
      </c>
      <c r="R15" s="146"/>
      <c r="S15" s="118" t="s">
        <v>203</v>
      </c>
      <c r="T15" s="118" t="s">
        <v>203</v>
      </c>
      <c r="U15" s="118" t="s">
        <v>203</v>
      </c>
      <c r="V15" s="123"/>
      <c r="W15" s="123"/>
      <c r="X15" s="118" t="s">
        <v>203</v>
      </c>
      <c r="Y15" s="118" t="s">
        <v>203</v>
      </c>
      <c r="Z15" s="118" t="s">
        <v>203</v>
      </c>
      <c r="AA15" s="118" t="s">
        <v>203</v>
      </c>
      <c r="AB15" s="118" t="s">
        <v>203</v>
      </c>
      <c r="AC15" s="123"/>
      <c r="AD15" s="123"/>
      <c r="AE15" s="118" t="s">
        <v>203</v>
      </c>
      <c r="AF15" s="118" t="s">
        <v>203</v>
      </c>
      <c r="AG15" s="118" t="s">
        <v>203</v>
      </c>
      <c r="AH15" s="118" t="s">
        <v>203</v>
      </c>
      <c r="AI15" s="118" t="s">
        <v>203</v>
      </c>
      <c r="AJ15" s="123"/>
      <c r="AK15" s="123"/>
      <c r="AL15" s="118" t="s">
        <v>203</v>
      </c>
      <c r="AM15" s="118" t="s">
        <v>203</v>
      </c>
      <c r="AN15" s="118" t="s">
        <v>203</v>
      </c>
      <c r="AO15" s="118" t="s">
        <v>203</v>
      </c>
      <c r="AP15" s="118" t="s">
        <v>203</v>
      </c>
      <c r="AQ15" s="123"/>
      <c r="AR15" s="123"/>
      <c r="AS15" s="118" t="s">
        <v>203</v>
      </c>
      <c r="AT15" s="118" t="s">
        <v>203</v>
      </c>
      <c r="AU15" s="118" t="s">
        <v>203</v>
      </c>
      <c r="AV15" s="118" t="s">
        <v>203</v>
      </c>
      <c r="AW15" s="118" t="s">
        <v>203</v>
      </c>
      <c r="AX15" s="123"/>
      <c r="AY15" s="123"/>
    </row>
    <row r="16" spans="2:51" ht="18.75">
      <c r="B16" s="118">
        <v>12</v>
      </c>
      <c r="C16" s="142"/>
      <c r="D16" s="118" t="s">
        <v>203</v>
      </c>
      <c r="E16" s="118" t="s">
        <v>203</v>
      </c>
      <c r="F16" s="118" t="s">
        <v>203</v>
      </c>
      <c r="G16" s="118" t="s">
        <v>203</v>
      </c>
      <c r="H16" s="123"/>
      <c r="I16" s="123"/>
      <c r="J16" s="118" t="s">
        <v>203</v>
      </c>
      <c r="K16" s="118" t="s">
        <v>203</v>
      </c>
      <c r="L16" s="118" t="s">
        <v>203</v>
      </c>
      <c r="M16" s="118" t="s">
        <v>203</v>
      </c>
      <c r="N16" s="118" t="s">
        <v>203</v>
      </c>
      <c r="O16" s="123"/>
      <c r="P16" s="123"/>
      <c r="Q16" s="118" t="s">
        <v>203</v>
      </c>
      <c r="R16" s="146"/>
      <c r="S16" s="118" t="s">
        <v>203</v>
      </c>
      <c r="T16" s="118" t="s">
        <v>203</v>
      </c>
      <c r="U16" s="118" t="s">
        <v>203</v>
      </c>
      <c r="V16" s="123"/>
      <c r="W16" s="123"/>
      <c r="X16" s="118" t="s">
        <v>205</v>
      </c>
      <c r="Y16" s="118" t="s">
        <v>203</v>
      </c>
      <c r="Z16" s="118" t="s">
        <v>203</v>
      </c>
      <c r="AA16" s="118" t="s">
        <v>203</v>
      </c>
      <c r="AB16" s="118" t="s">
        <v>203</v>
      </c>
      <c r="AC16" s="123"/>
      <c r="AD16" s="123"/>
      <c r="AE16" s="118" t="s">
        <v>203</v>
      </c>
      <c r="AF16" s="118" t="s">
        <v>203</v>
      </c>
      <c r="AG16" s="118" t="s">
        <v>203</v>
      </c>
      <c r="AH16" s="118" t="s">
        <v>203</v>
      </c>
      <c r="AI16" s="118" t="s">
        <v>203</v>
      </c>
      <c r="AJ16" s="123"/>
      <c r="AK16" s="123"/>
      <c r="AL16" s="118" t="s">
        <v>203</v>
      </c>
      <c r="AM16" s="118" t="s">
        <v>203</v>
      </c>
      <c r="AN16" s="118" t="s">
        <v>203</v>
      </c>
      <c r="AO16" s="118" t="s">
        <v>203</v>
      </c>
      <c r="AP16" s="118" t="s">
        <v>203</v>
      </c>
      <c r="AQ16" s="123"/>
      <c r="AR16" s="123"/>
      <c r="AS16" s="118" t="s">
        <v>203</v>
      </c>
      <c r="AT16" s="118" t="s">
        <v>203</v>
      </c>
      <c r="AU16" s="118" t="s">
        <v>203</v>
      </c>
      <c r="AV16" s="118" t="s">
        <v>203</v>
      </c>
      <c r="AW16" s="118" t="s">
        <v>203</v>
      </c>
      <c r="AX16" s="123"/>
      <c r="AY16" s="123"/>
    </row>
    <row r="17" spans="2:51" ht="18.75">
      <c r="B17" s="118">
        <v>13</v>
      </c>
      <c r="C17" s="142"/>
      <c r="D17" s="118" t="s">
        <v>203</v>
      </c>
      <c r="E17" s="118" t="s">
        <v>203</v>
      </c>
      <c r="F17" s="118" t="s">
        <v>203</v>
      </c>
      <c r="G17" s="118" t="s">
        <v>203</v>
      </c>
      <c r="H17" s="123"/>
      <c r="I17" s="123"/>
      <c r="J17" s="118" t="s">
        <v>203</v>
      </c>
      <c r="K17" s="118" t="s">
        <v>203</v>
      </c>
      <c r="L17" s="118" t="s">
        <v>203</v>
      </c>
      <c r="M17" s="118" t="s">
        <v>203</v>
      </c>
      <c r="N17" s="118" t="s">
        <v>203</v>
      </c>
      <c r="O17" s="123"/>
      <c r="P17" s="123"/>
      <c r="Q17" s="118" t="s">
        <v>203</v>
      </c>
      <c r="R17" s="146"/>
      <c r="S17" s="118" t="s">
        <v>203</v>
      </c>
      <c r="T17" s="118" t="s">
        <v>203</v>
      </c>
      <c r="U17" s="118" t="s">
        <v>203</v>
      </c>
      <c r="V17" s="123"/>
      <c r="W17" s="123"/>
      <c r="X17" s="118" t="s">
        <v>203</v>
      </c>
      <c r="Y17" s="118" t="s">
        <v>203</v>
      </c>
      <c r="Z17" s="118" t="s">
        <v>203</v>
      </c>
      <c r="AA17" s="118" t="s">
        <v>203</v>
      </c>
      <c r="AB17" s="118" t="s">
        <v>203</v>
      </c>
      <c r="AC17" s="123"/>
      <c r="AD17" s="123"/>
      <c r="AE17" s="118" t="s">
        <v>203</v>
      </c>
      <c r="AF17" s="118" t="s">
        <v>203</v>
      </c>
      <c r="AG17" s="118" t="s">
        <v>203</v>
      </c>
      <c r="AH17" s="118" t="s">
        <v>203</v>
      </c>
      <c r="AI17" s="118" t="s">
        <v>203</v>
      </c>
      <c r="AJ17" s="123"/>
      <c r="AK17" s="123"/>
      <c r="AL17" s="118" t="s">
        <v>203</v>
      </c>
      <c r="AM17" s="118" t="s">
        <v>203</v>
      </c>
      <c r="AN17" s="118" t="s">
        <v>203</v>
      </c>
      <c r="AO17" s="118" t="s">
        <v>203</v>
      </c>
      <c r="AP17" s="118" t="s">
        <v>203</v>
      </c>
      <c r="AQ17" s="123"/>
      <c r="AR17" s="123"/>
      <c r="AS17" s="118" t="s">
        <v>203</v>
      </c>
      <c r="AT17" s="118" t="s">
        <v>203</v>
      </c>
      <c r="AU17" s="118" t="s">
        <v>203</v>
      </c>
      <c r="AV17" s="118" t="s">
        <v>203</v>
      </c>
      <c r="AW17" s="118" t="s">
        <v>203</v>
      </c>
      <c r="AX17" s="123"/>
      <c r="AY17" s="123"/>
    </row>
    <row r="18" spans="2:51">
      <c r="C18" s="1">
        <v>13</v>
      </c>
    </row>
    <row r="19" spans="2:51" ht="21">
      <c r="C19" s="23" t="s">
        <v>61</v>
      </c>
    </row>
    <row r="20" spans="2:51" ht="21">
      <c r="C20" s="2" t="s">
        <v>224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2:51" ht="21">
      <c r="C21" s="224" t="s">
        <v>225</v>
      </c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4"/>
      <c r="AU21" s="224"/>
      <c r="AV21" s="224"/>
      <c r="AW21" s="224"/>
      <c r="AX21" s="224"/>
      <c r="AY21" s="224"/>
    </row>
  </sheetData>
  <protectedRanges>
    <protectedRange sqref="C5:C17 H5:I17 O5:P17 R5:R17 V5:W17 AJ5:AK17 AQ5:AR17 AX5:AY17 AC5:AD17" name="ช่วง1"/>
    <protectedRange sqref="C4:AY4" name="ช่วง1_2"/>
    <protectedRange sqref="C2:AY2" name="ช่วง1_2_1_1_2"/>
    <protectedRange sqref="C3:AY3" name="ช่วง1_2_1_1_1_1"/>
  </protectedRanges>
  <mergeCells count="15">
    <mergeCell ref="C21:AY21"/>
    <mergeCell ref="AS1:AY1"/>
    <mergeCell ref="C2:I2"/>
    <mergeCell ref="J2:P2"/>
    <mergeCell ref="Q2:W2"/>
    <mergeCell ref="X2:AD2"/>
    <mergeCell ref="AE2:AK2"/>
    <mergeCell ref="AL2:AR2"/>
    <mergeCell ref="AS2:AY2"/>
    <mergeCell ref="C1:I1"/>
    <mergeCell ref="J1:P1"/>
    <mergeCell ref="Q1:W1"/>
    <mergeCell ref="X1:AD1"/>
    <mergeCell ref="AE1:AK1"/>
    <mergeCell ref="AL1:AR1"/>
  </mergeCells>
  <pageMargins left="0.51181102362204722" right="0" top="0.39370078740157483" bottom="0" header="0.31496062992125984" footer="0.31496062992125984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R20"/>
  <sheetViews>
    <sheetView view="pageBreakPreview" topLeftCell="A5" zoomScale="90" zoomScaleNormal="100" zoomScaleSheetLayoutView="90" workbookViewId="0">
      <selection activeCell="D18" sqref="D18"/>
    </sheetView>
  </sheetViews>
  <sheetFormatPr defaultColWidth="9" defaultRowHeight="15.75"/>
  <cols>
    <col min="1" max="1" width="1.42578125" style="1" customWidth="1"/>
    <col min="2" max="2" width="6.85546875" style="4" customWidth="1"/>
    <col min="3" max="37" width="1.7109375" style="1" customWidth="1"/>
    <col min="38" max="38" width="1.85546875" style="1" customWidth="1"/>
    <col min="39" max="39" width="2.28515625" style="1" customWidth="1"/>
    <col min="40" max="40" width="2.140625" style="1" customWidth="1"/>
    <col min="41" max="41" width="1.85546875" style="1" customWidth="1"/>
    <col min="42" max="42" width="2" style="1" customWidth="1"/>
    <col min="43" max="43" width="2.140625" style="1" customWidth="1"/>
    <col min="44" max="44" width="2.28515625" style="1" customWidth="1"/>
    <col min="45" max="16384" width="9" style="1"/>
  </cols>
  <sheetData>
    <row r="1" spans="2:44" ht="21">
      <c r="B1" s="164" t="s">
        <v>167</v>
      </c>
      <c r="C1" s="208">
        <v>19</v>
      </c>
      <c r="D1" s="208"/>
      <c r="E1" s="208"/>
      <c r="F1" s="208"/>
      <c r="G1" s="208"/>
      <c r="H1" s="208"/>
      <c r="I1" s="208"/>
      <c r="J1" s="208">
        <v>20</v>
      </c>
      <c r="K1" s="208"/>
      <c r="L1" s="208"/>
      <c r="M1" s="208"/>
      <c r="N1" s="208"/>
      <c r="O1" s="208"/>
      <c r="P1" s="208"/>
      <c r="Q1" s="208">
        <v>21</v>
      </c>
      <c r="R1" s="208"/>
      <c r="S1" s="208"/>
      <c r="T1" s="208"/>
      <c r="U1" s="208"/>
      <c r="V1" s="208"/>
      <c r="W1" s="208"/>
      <c r="X1" s="235">
        <v>22</v>
      </c>
      <c r="Y1" s="235"/>
      <c r="Z1" s="235"/>
      <c r="AA1" s="235"/>
      <c r="AB1" s="208">
        <v>23</v>
      </c>
      <c r="AC1" s="208"/>
      <c r="AD1" s="208"/>
      <c r="AE1" s="208"/>
      <c r="AF1" s="208"/>
      <c r="AG1" s="208">
        <v>24</v>
      </c>
      <c r="AH1" s="208"/>
      <c r="AI1" s="208"/>
      <c r="AJ1" s="208"/>
      <c r="AK1" s="208"/>
      <c r="AL1" s="208"/>
      <c r="AM1" s="208"/>
      <c r="AN1" s="208">
        <v>25</v>
      </c>
      <c r="AO1" s="208"/>
      <c r="AP1" s="208"/>
      <c r="AQ1" s="208"/>
      <c r="AR1" s="208"/>
    </row>
    <row r="2" spans="2:44" ht="21.75" customHeight="1">
      <c r="B2" s="164" t="s">
        <v>53</v>
      </c>
      <c r="C2" s="222" t="s">
        <v>223</v>
      </c>
      <c r="D2" s="222"/>
      <c r="E2" s="222"/>
      <c r="F2" s="222"/>
      <c r="G2" s="222"/>
      <c r="H2" s="222"/>
      <c r="I2" s="222"/>
      <c r="J2" s="222" t="s">
        <v>226</v>
      </c>
      <c r="K2" s="222"/>
      <c r="L2" s="222"/>
      <c r="M2" s="222"/>
      <c r="N2" s="222"/>
      <c r="O2" s="222"/>
      <c r="P2" s="222"/>
      <c r="Q2" s="222" t="s">
        <v>227</v>
      </c>
      <c r="R2" s="222"/>
      <c r="S2" s="222"/>
      <c r="T2" s="222"/>
      <c r="U2" s="222"/>
      <c r="V2" s="222"/>
      <c r="W2" s="222"/>
      <c r="X2" s="222" t="s">
        <v>228</v>
      </c>
      <c r="Y2" s="222"/>
      <c r="Z2" s="222"/>
      <c r="AA2" s="222"/>
      <c r="AB2" s="222" t="s">
        <v>229</v>
      </c>
      <c r="AC2" s="222"/>
      <c r="AD2" s="222"/>
      <c r="AE2" s="222"/>
      <c r="AF2" s="222"/>
      <c r="AG2" s="222" t="s">
        <v>229</v>
      </c>
      <c r="AH2" s="222"/>
      <c r="AI2" s="222"/>
      <c r="AJ2" s="222"/>
      <c r="AK2" s="222"/>
      <c r="AL2" s="222"/>
      <c r="AM2" s="222"/>
      <c r="AN2" s="222" t="s">
        <v>229</v>
      </c>
      <c r="AO2" s="222"/>
      <c r="AP2" s="222"/>
      <c r="AQ2" s="222"/>
      <c r="AR2" s="222"/>
    </row>
    <row r="3" spans="2:44" ht="18.75">
      <c r="B3" s="164" t="s">
        <v>52</v>
      </c>
      <c r="C3" s="21" t="s">
        <v>216</v>
      </c>
      <c r="D3" s="33" t="s">
        <v>171</v>
      </c>
      <c r="E3" s="33" t="s">
        <v>172</v>
      </c>
      <c r="F3" s="33" t="s">
        <v>173</v>
      </c>
      <c r="G3" s="33" t="s">
        <v>174</v>
      </c>
      <c r="H3" s="68" t="s">
        <v>175</v>
      </c>
      <c r="I3" s="68" t="s">
        <v>176</v>
      </c>
      <c r="J3" s="33" t="s">
        <v>177</v>
      </c>
      <c r="K3" s="33" t="s">
        <v>178</v>
      </c>
      <c r="L3" s="33" t="s">
        <v>179</v>
      </c>
      <c r="M3" s="33" t="s">
        <v>180</v>
      </c>
      <c r="N3" s="33" t="s">
        <v>181</v>
      </c>
      <c r="O3" s="68" t="s">
        <v>182</v>
      </c>
      <c r="P3" s="68" t="s">
        <v>183</v>
      </c>
      <c r="Q3" s="66" t="s">
        <v>184</v>
      </c>
      <c r="R3" s="66" t="s">
        <v>185</v>
      </c>
      <c r="S3" s="66" t="s">
        <v>187</v>
      </c>
      <c r="T3" s="66" t="s">
        <v>188</v>
      </c>
      <c r="U3" s="66" t="s">
        <v>189</v>
      </c>
      <c r="V3" s="68" t="s">
        <v>190</v>
      </c>
      <c r="W3" s="68" t="s">
        <v>191</v>
      </c>
      <c r="X3" s="66" t="s">
        <v>192</v>
      </c>
      <c r="Y3" s="66" t="s">
        <v>193</v>
      </c>
      <c r="Z3" s="66" t="s">
        <v>194</v>
      </c>
      <c r="AA3" s="66" t="s">
        <v>217</v>
      </c>
      <c r="AB3" s="68" t="s">
        <v>187</v>
      </c>
      <c r="AC3" s="68" t="s">
        <v>188</v>
      </c>
      <c r="AD3" s="66" t="s">
        <v>189</v>
      </c>
      <c r="AE3" s="66" t="s">
        <v>190</v>
      </c>
      <c r="AF3" s="66" t="s">
        <v>191</v>
      </c>
      <c r="AG3" s="66" t="s">
        <v>192</v>
      </c>
      <c r="AH3" s="66" t="s">
        <v>193</v>
      </c>
      <c r="AI3" s="68" t="s">
        <v>194</v>
      </c>
      <c r="AJ3" s="68" t="s">
        <v>217</v>
      </c>
      <c r="AK3" s="66" t="s">
        <v>211</v>
      </c>
      <c r="AL3" s="21" t="s">
        <v>212</v>
      </c>
      <c r="AM3" s="33" t="s">
        <v>213</v>
      </c>
      <c r="AN3" s="33" t="s">
        <v>214</v>
      </c>
      <c r="AO3" s="33" t="s">
        <v>215</v>
      </c>
      <c r="AP3" s="68" t="s">
        <v>216</v>
      </c>
      <c r="AQ3" s="68" t="s">
        <v>171</v>
      </c>
      <c r="AR3" s="66" t="s">
        <v>172</v>
      </c>
    </row>
    <row r="4" spans="2:44" ht="18.75">
      <c r="B4" s="164" t="s">
        <v>195</v>
      </c>
      <c r="C4" s="21" t="s">
        <v>199</v>
      </c>
      <c r="D4" s="21" t="s">
        <v>200</v>
      </c>
      <c r="E4" s="21" t="s">
        <v>201</v>
      </c>
      <c r="F4" s="21" t="s">
        <v>202</v>
      </c>
      <c r="G4" s="21" t="s">
        <v>196</v>
      </c>
      <c r="H4" s="69" t="s">
        <v>197</v>
      </c>
      <c r="I4" s="69" t="s">
        <v>198</v>
      </c>
      <c r="J4" s="21" t="s">
        <v>199</v>
      </c>
      <c r="K4" s="21" t="s">
        <v>200</v>
      </c>
      <c r="L4" s="21" t="s">
        <v>201</v>
      </c>
      <c r="M4" s="21" t="s">
        <v>202</v>
      </c>
      <c r="N4" s="21" t="s">
        <v>196</v>
      </c>
      <c r="O4" s="69" t="s">
        <v>197</v>
      </c>
      <c r="P4" s="69" t="s">
        <v>198</v>
      </c>
      <c r="Q4" s="67" t="s">
        <v>199</v>
      </c>
      <c r="R4" s="67" t="s">
        <v>200</v>
      </c>
      <c r="S4" s="67" t="s">
        <v>201</v>
      </c>
      <c r="T4" s="67" t="s">
        <v>202</v>
      </c>
      <c r="U4" s="67" t="s">
        <v>196</v>
      </c>
      <c r="V4" s="69" t="s">
        <v>197</v>
      </c>
      <c r="W4" s="69" t="s">
        <v>198</v>
      </c>
      <c r="X4" s="67" t="s">
        <v>199</v>
      </c>
      <c r="Y4" s="67" t="s">
        <v>200</v>
      </c>
      <c r="Z4" s="67" t="s">
        <v>201</v>
      </c>
      <c r="AA4" s="67" t="s">
        <v>202</v>
      </c>
      <c r="AB4" s="69" t="s">
        <v>197</v>
      </c>
      <c r="AC4" s="69" t="s">
        <v>198</v>
      </c>
      <c r="AD4" s="67" t="s">
        <v>199</v>
      </c>
      <c r="AE4" s="67" t="s">
        <v>200</v>
      </c>
      <c r="AF4" s="67" t="s">
        <v>201</v>
      </c>
      <c r="AG4" s="67" t="s">
        <v>202</v>
      </c>
      <c r="AH4" s="67" t="s">
        <v>196</v>
      </c>
      <c r="AI4" s="69" t="s">
        <v>197</v>
      </c>
      <c r="AJ4" s="69" t="s">
        <v>200</v>
      </c>
      <c r="AK4" s="67" t="s">
        <v>199</v>
      </c>
      <c r="AL4" s="67" t="s">
        <v>200</v>
      </c>
      <c r="AM4" s="67" t="s">
        <v>201</v>
      </c>
      <c r="AN4" s="67" t="s">
        <v>202</v>
      </c>
      <c r="AO4" s="67" t="s">
        <v>196</v>
      </c>
      <c r="AP4" s="69" t="s">
        <v>197</v>
      </c>
      <c r="AQ4" s="69" t="s">
        <v>198</v>
      </c>
      <c r="AR4" s="67" t="s">
        <v>199</v>
      </c>
    </row>
    <row r="5" spans="2:44" ht="18.75">
      <c r="B5" s="118">
        <v>1</v>
      </c>
      <c r="C5" s="118" t="s">
        <v>203</v>
      </c>
      <c r="D5" s="118" t="s">
        <v>203</v>
      </c>
      <c r="E5" s="118" t="s">
        <v>203</v>
      </c>
      <c r="F5" s="118" t="s">
        <v>203</v>
      </c>
      <c r="G5" s="118" t="s">
        <v>203</v>
      </c>
      <c r="H5" s="123"/>
      <c r="I5" s="123"/>
      <c r="J5" s="118" t="s">
        <v>203</v>
      </c>
      <c r="K5" s="118" t="s">
        <v>203</v>
      </c>
      <c r="L5" s="118" t="s">
        <v>203</v>
      </c>
      <c r="M5" s="118" t="s">
        <v>203</v>
      </c>
      <c r="N5" s="118" t="s">
        <v>203</v>
      </c>
      <c r="O5" s="123"/>
      <c r="P5" s="123"/>
      <c r="Q5" s="118" t="s">
        <v>203</v>
      </c>
      <c r="R5" s="118" t="s">
        <v>203</v>
      </c>
      <c r="S5" s="118" t="s">
        <v>203</v>
      </c>
      <c r="T5" s="118" t="s">
        <v>203</v>
      </c>
      <c r="U5" s="118" t="s">
        <v>203</v>
      </c>
      <c r="V5" s="123"/>
      <c r="W5" s="123"/>
      <c r="X5" s="118" t="s">
        <v>203</v>
      </c>
      <c r="Y5" s="118" t="s">
        <v>203</v>
      </c>
      <c r="Z5" s="118" t="s">
        <v>203</v>
      </c>
      <c r="AA5" s="118" t="s">
        <v>203</v>
      </c>
      <c r="AB5" s="123"/>
      <c r="AC5" s="123"/>
      <c r="AD5" s="118" t="s">
        <v>203</v>
      </c>
      <c r="AE5" s="118" t="s">
        <v>203</v>
      </c>
      <c r="AF5" s="118" t="s">
        <v>203</v>
      </c>
      <c r="AG5" s="118" t="s">
        <v>203</v>
      </c>
      <c r="AH5" s="118" t="s">
        <v>203</v>
      </c>
      <c r="AI5" s="123"/>
      <c r="AJ5" s="123"/>
      <c r="AK5" s="118" t="s">
        <v>203</v>
      </c>
      <c r="AL5" s="118" t="s">
        <v>203</v>
      </c>
      <c r="AM5" s="118" t="s">
        <v>203</v>
      </c>
      <c r="AN5" s="118" t="s">
        <v>203</v>
      </c>
      <c r="AO5" s="118" t="s">
        <v>203</v>
      </c>
      <c r="AP5" s="123"/>
      <c r="AQ5" s="123"/>
      <c r="AR5" s="118" t="s">
        <v>203</v>
      </c>
    </row>
    <row r="6" spans="2:44" ht="18.75">
      <c r="B6" s="118">
        <v>2</v>
      </c>
      <c r="C6" s="118" t="s">
        <v>203</v>
      </c>
      <c r="D6" s="118" t="s">
        <v>203</v>
      </c>
      <c r="E6" s="118" t="s">
        <v>203</v>
      </c>
      <c r="F6" s="118" t="s">
        <v>203</v>
      </c>
      <c r="G6" s="118" t="s">
        <v>203</v>
      </c>
      <c r="H6" s="123"/>
      <c r="I6" s="123"/>
      <c r="J6" s="118" t="s">
        <v>203</v>
      </c>
      <c r="K6" s="118" t="s">
        <v>203</v>
      </c>
      <c r="L6" s="118" t="s">
        <v>203</v>
      </c>
      <c r="M6" s="118" t="s">
        <v>203</v>
      </c>
      <c r="N6" s="118" t="s">
        <v>203</v>
      </c>
      <c r="O6" s="123"/>
      <c r="P6" s="123"/>
      <c r="Q6" s="118" t="s">
        <v>203</v>
      </c>
      <c r="R6" s="118" t="s">
        <v>203</v>
      </c>
      <c r="S6" s="118" t="s">
        <v>203</v>
      </c>
      <c r="T6" s="118" t="s">
        <v>203</v>
      </c>
      <c r="U6" s="118" t="s">
        <v>203</v>
      </c>
      <c r="V6" s="123"/>
      <c r="W6" s="123"/>
      <c r="X6" s="118" t="s">
        <v>203</v>
      </c>
      <c r="Y6" s="118" t="s">
        <v>203</v>
      </c>
      <c r="Z6" s="118" t="s">
        <v>205</v>
      </c>
      <c r="AA6" s="118" t="s">
        <v>203</v>
      </c>
      <c r="AB6" s="123"/>
      <c r="AC6" s="123"/>
      <c r="AD6" s="118" t="s">
        <v>203</v>
      </c>
      <c r="AE6" s="118" t="s">
        <v>203</v>
      </c>
      <c r="AF6" s="118" t="s">
        <v>203</v>
      </c>
      <c r="AG6" s="118" t="s">
        <v>203</v>
      </c>
      <c r="AH6" s="118" t="s">
        <v>203</v>
      </c>
      <c r="AI6" s="123"/>
      <c r="AJ6" s="123"/>
      <c r="AK6" s="118" t="s">
        <v>203</v>
      </c>
      <c r="AL6" s="118" t="s">
        <v>203</v>
      </c>
      <c r="AM6" s="118" t="s">
        <v>203</v>
      </c>
      <c r="AN6" s="118" t="s">
        <v>203</v>
      </c>
      <c r="AO6" s="118" t="s">
        <v>203</v>
      </c>
      <c r="AP6" s="123"/>
      <c r="AQ6" s="123"/>
      <c r="AR6" s="118" t="s">
        <v>203</v>
      </c>
    </row>
    <row r="7" spans="2:44" ht="18.75">
      <c r="B7" s="118">
        <v>3</v>
      </c>
      <c r="C7" s="118" t="s">
        <v>203</v>
      </c>
      <c r="D7" s="118" t="s">
        <v>203</v>
      </c>
      <c r="E7" s="118" t="s">
        <v>203</v>
      </c>
      <c r="F7" s="118" t="s">
        <v>203</v>
      </c>
      <c r="G7" s="118" t="s">
        <v>203</v>
      </c>
      <c r="H7" s="123"/>
      <c r="I7" s="123"/>
      <c r="J7" s="118" t="s">
        <v>203</v>
      </c>
      <c r="K7" s="118" t="s">
        <v>203</v>
      </c>
      <c r="L7" s="118" t="s">
        <v>203</v>
      </c>
      <c r="M7" s="118" t="s">
        <v>203</v>
      </c>
      <c r="N7" s="118" t="s">
        <v>203</v>
      </c>
      <c r="O7" s="123"/>
      <c r="P7" s="123"/>
      <c r="Q7" s="118" t="s">
        <v>203</v>
      </c>
      <c r="R7" s="118" t="s">
        <v>203</v>
      </c>
      <c r="S7" s="118" t="s">
        <v>203</v>
      </c>
      <c r="T7" s="118" t="s">
        <v>203</v>
      </c>
      <c r="U7" s="118" t="s">
        <v>203</v>
      </c>
      <c r="V7" s="123"/>
      <c r="W7" s="123"/>
      <c r="X7" s="118" t="s">
        <v>203</v>
      </c>
      <c r="Y7" s="118" t="s">
        <v>203</v>
      </c>
      <c r="Z7" s="118" t="s">
        <v>203</v>
      </c>
      <c r="AA7" s="118" t="s">
        <v>203</v>
      </c>
      <c r="AB7" s="123"/>
      <c r="AC7" s="123"/>
      <c r="AD7" s="118" t="s">
        <v>203</v>
      </c>
      <c r="AE7" s="118" t="s">
        <v>203</v>
      </c>
      <c r="AF7" s="118" t="s">
        <v>203</v>
      </c>
      <c r="AG7" s="118" t="s">
        <v>203</v>
      </c>
      <c r="AH7" s="118" t="s">
        <v>203</v>
      </c>
      <c r="AI7" s="123"/>
      <c r="AJ7" s="123"/>
      <c r="AK7" s="118" t="s">
        <v>203</v>
      </c>
      <c r="AL7" s="118" t="s">
        <v>203</v>
      </c>
      <c r="AM7" s="118" t="s">
        <v>203</v>
      </c>
      <c r="AN7" s="118" t="s">
        <v>203</v>
      </c>
      <c r="AO7" s="118" t="s">
        <v>205</v>
      </c>
      <c r="AP7" s="123"/>
      <c r="AQ7" s="123"/>
      <c r="AR7" s="118" t="s">
        <v>203</v>
      </c>
    </row>
    <row r="8" spans="2:44" ht="18.75">
      <c r="B8" s="118">
        <v>4</v>
      </c>
      <c r="C8" s="118" t="s">
        <v>203</v>
      </c>
      <c r="D8" s="118" t="s">
        <v>203</v>
      </c>
      <c r="E8" s="118" t="s">
        <v>203</v>
      </c>
      <c r="F8" s="118" t="s">
        <v>203</v>
      </c>
      <c r="G8" s="118" t="s">
        <v>203</v>
      </c>
      <c r="H8" s="123"/>
      <c r="I8" s="123"/>
      <c r="J8" s="118" t="s">
        <v>203</v>
      </c>
      <c r="K8" s="118" t="s">
        <v>203</v>
      </c>
      <c r="L8" s="118" t="s">
        <v>203</v>
      </c>
      <c r="M8" s="118" t="s">
        <v>203</v>
      </c>
      <c r="N8" s="118" t="s">
        <v>203</v>
      </c>
      <c r="O8" s="123"/>
      <c r="P8" s="123"/>
      <c r="Q8" s="118" t="s">
        <v>203</v>
      </c>
      <c r="R8" s="118" t="s">
        <v>203</v>
      </c>
      <c r="S8" s="118" t="s">
        <v>203</v>
      </c>
      <c r="T8" s="118" t="s">
        <v>203</v>
      </c>
      <c r="U8" s="118" t="s">
        <v>203</v>
      </c>
      <c r="V8" s="123"/>
      <c r="W8" s="123"/>
      <c r="X8" s="118" t="s">
        <v>203</v>
      </c>
      <c r="Y8" s="118" t="s">
        <v>203</v>
      </c>
      <c r="Z8" s="118" t="s">
        <v>203</v>
      </c>
      <c r="AA8" s="118" t="s">
        <v>203</v>
      </c>
      <c r="AB8" s="123"/>
      <c r="AC8" s="123"/>
      <c r="AD8" s="118" t="s">
        <v>203</v>
      </c>
      <c r="AE8" s="118" t="s">
        <v>203</v>
      </c>
      <c r="AF8" s="118" t="s">
        <v>203</v>
      </c>
      <c r="AG8" s="118" t="s">
        <v>203</v>
      </c>
      <c r="AH8" s="118" t="s">
        <v>203</v>
      </c>
      <c r="AI8" s="123"/>
      <c r="AJ8" s="123"/>
      <c r="AK8" s="118" t="s">
        <v>203</v>
      </c>
      <c r="AL8" s="118" t="s">
        <v>203</v>
      </c>
      <c r="AM8" s="118" t="s">
        <v>203</v>
      </c>
      <c r="AN8" s="118" t="s">
        <v>203</v>
      </c>
      <c r="AO8" s="118" t="s">
        <v>203</v>
      </c>
      <c r="AP8" s="123"/>
      <c r="AQ8" s="123"/>
      <c r="AR8" s="118" t="s">
        <v>203</v>
      </c>
    </row>
    <row r="9" spans="2:44" ht="18.75">
      <c r="B9" s="118">
        <v>5</v>
      </c>
      <c r="C9" s="118" t="s">
        <v>203</v>
      </c>
      <c r="D9" s="118" t="s">
        <v>203</v>
      </c>
      <c r="E9" s="118" t="s">
        <v>203</v>
      </c>
      <c r="F9" s="118" t="s">
        <v>203</v>
      </c>
      <c r="G9" s="118" t="s">
        <v>203</v>
      </c>
      <c r="H9" s="123"/>
      <c r="I9" s="123"/>
      <c r="J9" s="118" t="s">
        <v>203</v>
      </c>
      <c r="K9" s="118" t="s">
        <v>203</v>
      </c>
      <c r="L9" s="118" t="s">
        <v>203</v>
      </c>
      <c r="M9" s="118" t="s">
        <v>203</v>
      </c>
      <c r="N9" s="118" t="s">
        <v>203</v>
      </c>
      <c r="O9" s="123"/>
      <c r="P9" s="123"/>
      <c r="Q9" s="118" t="s">
        <v>203</v>
      </c>
      <c r="R9" s="118" t="s">
        <v>203</v>
      </c>
      <c r="S9" s="118" t="s">
        <v>203</v>
      </c>
      <c r="T9" s="118" t="s">
        <v>203</v>
      </c>
      <c r="U9" s="118" t="s">
        <v>203</v>
      </c>
      <c r="V9" s="123"/>
      <c r="W9" s="123"/>
      <c r="X9" s="118" t="s">
        <v>203</v>
      </c>
      <c r="Y9" s="118" t="s">
        <v>203</v>
      </c>
      <c r="Z9" s="118" t="s">
        <v>205</v>
      </c>
      <c r="AA9" s="118" t="s">
        <v>203</v>
      </c>
      <c r="AB9" s="123"/>
      <c r="AC9" s="123"/>
      <c r="AD9" s="118" t="s">
        <v>203</v>
      </c>
      <c r="AE9" s="118" t="s">
        <v>203</v>
      </c>
      <c r="AF9" s="118" t="s">
        <v>203</v>
      </c>
      <c r="AG9" s="118" t="s">
        <v>203</v>
      </c>
      <c r="AH9" s="118" t="s">
        <v>203</v>
      </c>
      <c r="AI9" s="123"/>
      <c r="AJ9" s="123"/>
      <c r="AK9" s="118" t="s">
        <v>203</v>
      </c>
      <c r="AL9" s="118" t="s">
        <v>203</v>
      </c>
      <c r="AM9" s="118" t="s">
        <v>203</v>
      </c>
      <c r="AN9" s="118" t="s">
        <v>203</v>
      </c>
      <c r="AO9" s="118" t="s">
        <v>203</v>
      </c>
      <c r="AP9" s="123"/>
      <c r="AQ9" s="123"/>
      <c r="AR9" s="118" t="s">
        <v>203</v>
      </c>
    </row>
    <row r="10" spans="2:44" ht="18.75">
      <c r="B10" s="118">
        <v>6</v>
      </c>
      <c r="C10" s="118" t="s">
        <v>203</v>
      </c>
      <c r="D10" s="118" t="s">
        <v>203</v>
      </c>
      <c r="E10" s="118" t="s">
        <v>203</v>
      </c>
      <c r="F10" s="118" t="s">
        <v>203</v>
      </c>
      <c r="G10" s="118" t="s">
        <v>203</v>
      </c>
      <c r="H10" s="123"/>
      <c r="I10" s="123"/>
      <c r="J10" s="118" t="s">
        <v>203</v>
      </c>
      <c r="K10" s="118" t="s">
        <v>203</v>
      </c>
      <c r="L10" s="118" t="s">
        <v>203</v>
      </c>
      <c r="M10" s="118" t="s">
        <v>203</v>
      </c>
      <c r="N10" s="118" t="s">
        <v>203</v>
      </c>
      <c r="O10" s="123"/>
      <c r="P10" s="123"/>
      <c r="Q10" s="118" t="s">
        <v>203</v>
      </c>
      <c r="R10" s="118" t="s">
        <v>203</v>
      </c>
      <c r="S10" s="118" t="s">
        <v>203</v>
      </c>
      <c r="T10" s="118" t="s">
        <v>203</v>
      </c>
      <c r="U10" s="118" t="s">
        <v>203</v>
      </c>
      <c r="V10" s="123"/>
      <c r="W10" s="123"/>
      <c r="X10" s="118" t="s">
        <v>203</v>
      </c>
      <c r="Y10" s="118" t="s">
        <v>203</v>
      </c>
      <c r="Z10" s="118" t="s">
        <v>203</v>
      </c>
      <c r="AA10" s="118" t="s">
        <v>203</v>
      </c>
      <c r="AB10" s="123"/>
      <c r="AC10" s="123"/>
      <c r="AD10" s="118" t="s">
        <v>203</v>
      </c>
      <c r="AE10" s="118" t="s">
        <v>203</v>
      </c>
      <c r="AF10" s="118" t="s">
        <v>203</v>
      </c>
      <c r="AG10" s="118" t="s">
        <v>203</v>
      </c>
      <c r="AH10" s="118" t="s">
        <v>203</v>
      </c>
      <c r="AI10" s="123"/>
      <c r="AJ10" s="123"/>
      <c r="AK10" s="118" t="s">
        <v>203</v>
      </c>
      <c r="AL10" s="118" t="s">
        <v>203</v>
      </c>
      <c r="AM10" s="118" t="s">
        <v>204</v>
      </c>
      <c r="AN10" s="118" t="s">
        <v>203</v>
      </c>
      <c r="AO10" s="118" t="s">
        <v>203</v>
      </c>
      <c r="AP10" s="123"/>
      <c r="AQ10" s="123"/>
      <c r="AR10" s="118" t="s">
        <v>203</v>
      </c>
    </row>
    <row r="11" spans="2:44" ht="18.75">
      <c r="B11" s="118">
        <v>7</v>
      </c>
      <c r="C11" s="118" t="s">
        <v>203</v>
      </c>
      <c r="D11" s="118" t="s">
        <v>203</v>
      </c>
      <c r="E11" s="118" t="s">
        <v>203</v>
      </c>
      <c r="F11" s="118" t="s">
        <v>203</v>
      </c>
      <c r="G11" s="118" t="s">
        <v>203</v>
      </c>
      <c r="H11" s="123"/>
      <c r="I11" s="123"/>
      <c r="J11" s="118" t="s">
        <v>203</v>
      </c>
      <c r="K11" s="118" t="s">
        <v>203</v>
      </c>
      <c r="L11" s="118" t="s">
        <v>203</v>
      </c>
      <c r="M11" s="118" t="s">
        <v>203</v>
      </c>
      <c r="N11" s="118" t="s">
        <v>203</v>
      </c>
      <c r="O11" s="123"/>
      <c r="P11" s="123"/>
      <c r="Q11" s="118" t="s">
        <v>203</v>
      </c>
      <c r="R11" s="118" t="s">
        <v>203</v>
      </c>
      <c r="S11" s="118" t="s">
        <v>203</v>
      </c>
      <c r="T11" s="118" t="s">
        <v>203</v>
      </c>
      <c r="U11" s="118" t="s">
        <v>203</v>
      </c>
      <c r="V11" s="123"/>
      <c r="W11" s="123"/>
      <c r="X11" s="118" t="s">
        <v>203</v>
      </c>
      <c r="Y11" s="118" t="s">
        <v>203</v>
      </c>
      <c r="Z11" s="118" t="s">
        <v>203</v>
      </c>
      <c r="AA11" s="118" t="s">
        <v>203</v>
      </c>
      <c r="AB11" s="123"/>
      <c r="AC11" s="123"/>
      <c r="AD11" s="118" t="s">
        <v>203</v>
      </c>
      <c r="AE11" s="118" t="s">
        <v>203</v>
      </c>
      <c r="AF11" s="118" t="s">
        <v>203</v>
      </c>
      <c r="AG11" s="118" t="s">
        <v>203</v>
      </c>
      <c r="AH11" s="118" t="s">
        <v>203</v>
      </c>
      <c r="AI11" s="123"/>
      <c r="AJ11" s="123"/>
      <c r="AK11" s="118" t="s">
        <v>203</v>
      </c>
      <c r="AL11" s="118" t="s">
        <v>203</v>
      </c>
      <c r="AM11" s="118" t="s">
        <v>203</v>
      </c>
      <c r="AN11" s="118" t="s">
        <v>203</v>
      </c>
      <c r="AO11" s="118" t="s">
        <v>203</v>
      </c>
      <c r="AP11" s="123"/>
      <c r="AQ11" s="123"/>
      <c r="AR11" s="118" t="s">
        <v>203</v>
      </c>
    </row>
    <row r="12" spans="2:44" ht="18.75">
      <c r="B12" s="118">
        <v>8</v>
      </c>
      <c r="C12" s="118" t="s">
        <v>203</v>
      </c>
      <c r="D12" s="118" t="s">
        <v>203</v>
      </c>
      <c r="E12" s="118" t="s">
        <v>203</v>
      </c>
      <c r="F12" s="118" t="s">
        <v>203</v>
      </c>
      <c r="G12" s="118" t="s">
        <v>203</v>
      </c>
      <c r="H12" s="123"/>
      <c r="I12" s="123"/>
      <c r="J12" s="118" t="s">
        <v>203</v>
      </c>
      <c r="K12" s="118" t="s">
        <v>203</v>
      </c>
      <c r="L12" s="118" t="s">
        <v>203</v>
      </c>
      <c r="M12" s="118" t="s">
        <v>203</v>
      </c>
      <c r="N12" s="118" t="s">
        <v>203</v>
      </c>
      <c r="O12" s="123"/>
      <c r="P12" s="123"/>
      <c r="Q12" s="118" t="s">
        <v>203</v>
      </c>
      <c r="R12" s="118" t="s">
        <v>203</v>
      </c>
      <c r="S12" s="118" t="s">
        <v>203</v>
      </c>
      <c r="T12" s="118" t="s">
        <v>203</v>
      </c>
      <c r="U12" s="118" t="s">
        <v>203</v>
      </c>
      <c r="V12" s="123"/>
      <c r="W12" s="123"/>
      <c r="X12" s="118" t="s">
        <v>203</v>
      </c>
      <c r="Y12" s="118" t="s">
        <v>203</v>
      </c>
      <c r="Z12" s="118" t="s">
        <v>203</v>
      </c>
      <c r="AA12" s="118" t="s">
        <v>203</v>
      </c>
      <c r="AB12" s="123"/>
      <c r="AC12" s="123"/>
      <c r="AD12" s="118" t="s">
        <v>203</v>
      </c>
      <c r="AE12" s="118" t="s">
        <v>203</v>
      </c>
      <c r="AF12" s="118" t="s">
        <v>203</v>
      </c>
      <c r="AG12" s="118" t="s">
        <v>203</v>
      </c>
      <c r="AH12" s="118" t="s">
        <v>203</v>
      </c>
      <c r="AI12" s="123"/>
      <c r="AJ12" s="123"/>
      <c r="AK12" s="118" t="s">
        <v>203</v>
      </c>
      <c r="AL12" s="118" t="s">
        <v>203</v>
      </c>
      <c r="AM12" s="118" t="s">
        <v>203</v>
      </c>
      <c r="AN12" s="118" t="s">
        <v>203</v>
      </c>
      <c r="AO12" s="118" t="s">
        <v>203</v>
      </c>
      <c r="AP12" s="123"/>
      <c r="AQ12" s="123"/>
      <c r="AR12" s="118" t="s">
        <v>203</v>
      </c>
    </row>
    <row r="13" spans="2:44" ht="18.75">
      <c r="B13" s="118">
        <v>9</v>
      </c>
      <c r="C13" s="118" t="s">
        <v>203</v>
      </c>
      <c r="D13" s="118" t="s">
        <v>203</v>
      </c>
      <c r="E13" s="118" t="s">
        <v>203</v>
      </c>
      <c r="F13" s="118" t="s">
        <v>204</v>
      </c>
      <c r="G13" s="118" t="s">
        <v>203</v>
      </c>
      <c r="H13" s="123"/>
      <c r="I13" s="123"/>
      <c r="J13" s="118" t="s">
        <v>203</v>
      </c>
      <c r="K13" s="118" t="s">
        <v>203</v>
      </c>
      <c r="L13" s="118" t="s">
        <v>203</v>
      </c>
      <c r="M13" s="118" t="s">
        <v>203</v>
      </c>
      <c r="N13" s="118" t="s">
        <v>203</v>
      </c>
      <c r="O13" s="123"/>
      <c r="P13" s="123"/>
      <c r="Q13" s="118" t="s">
        <v>203</v>
      </c>
      <c r="R13" s="118" t="s">
        <v>203</v>
      </c>
      <c r="S13" s="118" t="s">
        <v>203</v>
      </c>
      <c r="T13" s="118" t="s">
        <v>203</v>
      </c>
      <c r="U13" s="118" t="s">
        <v>203</v>
      </c>
      <c r="V13" s="123"/>
      <c r="W13" s="123"/>
      <c r="X13" s="118" t="s">
        <v>203</v>
      </c>
      <c r="Y13" s="118" t="s">
        <v>203</v>
      </c>
      <c r="Z13" s="118" t="s">
        <v>203</v>
      </c>
      <c r="AA13" s="118" t="s">
        <v>203</v>
      </c>
      <c r="AB13" s="123"/>
      <c r="AC13" s="123"/>
      <c r="AD13" s="118" t="s">
        <v>203</v>
      </c>
      <c r="AE13" s="118" t="s">
        <v>203</v>
      </c>
      <c r="AF13" s="118" t="s">
        <v>203</v>
      </c>
      <c r="AG13" s="118" t="s">
        <v>203</v>
      </c>
      <c r="AH13" s="118" t="s">
        <v>203</v>
      </c>
      <c r="AI13" s="123"/>
      <c r="AJ13" s="123"/>
      <c r="AK13" s="118" t="s">
        <v>203</v>
      </c>
      <c r="AL13" s="118" t="s">
        <v>203</v>
      </c>
      <c r="AM13" s="118" t="s">
        <v>203</v>
      </c>
      <c r="AN13" s="118" t="s">
        <v>203</v>
      </c>
      <c r="AO13" s="118" t="s">
        <v>203</v>
      </c>
      <c r="AP13" s="123"/>
      <c r="AQ13" s="123"/>
      <c r="AR13" s="118" t="s">
        <v>203</v>
      </c>
    </row>
    <row r="14" spans="2:44" ht="18.75">
      <c r="B14" s="118">
        <v>10</v>
      </c>
      <c r="C14" s="118" t="s">
        <v>203</v>
      </c>
      <c r="D14" s="118" t="s">
        <v>203</v>
      </c>
      <c r="E14" s="118" t="s">
        <v>203</v>
      </c>
      <c r="F14" s="118" t="s">
        <v>203</v>
      </c>
      <c r="G14" s="118" t="s">
        <v>203</v>
      </c>
      <c r="H14" s="123"/>
      <c r="I14" s="123"/>
      <c r="J14" s="118" t="s">
        <v>203</v>
      </c>
      <c r="K14" s="118" t="s">
        <v>203</v>
      </c>
      <c r="L14" s="118" t="s">
        <v>203</v>
      </c>
      <c r="M14" s="118" t="s">
        <v>203</v>
      </c>
      <c r="N14" s="118" t="s">
        <v>203</v>
      </c>
      <c r="O14" s="123"/>
      <c r="P14" s="123"/>
      <c r="Q14" s="118" t="s">
        <v>203</v>
      </c>
      <c r="R14" s="118" t="s">
        <v>203</v>
      </c>
      <c r="S14" s="118" t="s">
        <v>203</v>
      </c>
      <c r="T14" s="118" t="s">
        <v>203</v>
      </c>
      <c r="U14" s="118" t="s">
        <v>203</v>
      </c>
      <c r="V14" s="123"/>
      <c r="W14" s="123"/>
      <c r="X14" s="118" t="s">
        <v>203</v>
      </c>
      <c r="Y14" s="118" t="s">
        <v>203</v>
      </c>
      <c r="Z14" s="118" t="s">
        <v>203</v>
      </c>
      <c r="AA14" s="118" t="s">
        <v>203</v>
      </c>
      <c r="AB14" s="123"/>
      <c r="AC14" s="123"/>
      <c r="AD14" s="118" t="s">
        <v>203</v>
      </c>
      <c r="AE14" s="118" t="s">
        <v>203</v>
      </c>
      <c r="AF14" s="118" t="s">
        <v>203</v>
      </c>
      <c r="AG14" s="118" t="s">
        <v>203</v>
      </c>
      <c r="AH14" s="118" t="s">
        <v>203</v>
      </c>
      <c r="AI14" s="123"/>
      <c r="AJ14" s="123"/>
      <c r="AK14" s="118" t="s">
        <v>203</v>
      </c>
      <c r="AL14" s="118" t="s">
        <v>203</v>
      </c>
      <c r="AM14" s="118" t="s">
        <v>203</v>
      </c>
      <c r="AN14" s="118" t="s">
        <v>203</v>
      </c>
      <c r="AO14" s="118" t="s">
        <v>203</v>
      </c>
      <c r="AP14" s="123"/>
      <c r="AQ14" s="123"/>
      <c r="AR14" s="118" t="s">
        <v>203</v>
      </c>
    </row>
    <row r="15" spans="2:44" ht="18.75">
      <c r="B15" s="118">
        <v>11</v>
      </c>
      <c r="C15" s="118" t="s">
        <v>203</v>
      </c>
      <c r="D15" s="118" t="s">
        <v>203</v>
      </c>
      <c r="E15" s="118" t="s">
        <v>203</v>
      </c>
      <c r="F15" s="118" t="s">
        <v>203</v>
      </c>
      <c r="G15" s="118" t="s">
        <v>203</v>
      </c>
      <c r="H15" s="123"/>
      <c r="I15" s="123"/>
      <c r="J15" s="118" t="s">
        <v>203</v>
      </c>
      <c r="K15" s="118" t="s">
        <v>203</v>
      </c>
      <c r="L15" s="118" t="s">
        <v>203</v>
      </c>
      <c r="M15" s="118" t="s">
        <v>203</v>
      </c>
      <c r="N15" s="118" t="s">
        <v>203</v>
      </c>
      <c r="O15" s="123"/>
      <c r="P15" s="123"/>
      <c r="Q15" s="118" t="s">
        <v>203</v>
      </c>
      <c r="R15" s="118" t="s">
        <v>203</v>
      </c>
      <c r="S15" s="118" t="s">
        <v>203</v>
      </c>
      <c r="T15" s="118" t="s">
        <v>203</v>
      </c>
      <c r="U15" s="118" t="s">
        <v>203</v>
      </c>
      <c r="V15" s="123"/>
      <c r="W15" s="123"/>
      <c r="X15" s="118" t="s">
        <v>203</v>
      </c>
      <c r="Y15" s="118" t="s">
        <v>203</v>
      </c>
      <c r="Z15" s="118" t="s">
        <v>203</v>
      </c>
      <c r="AA15" s="118" t="s">
        <v>203</v>
      </c>
      <c r="AB15" s="123"/>
      <c r="AC15" s="123"/>
      <c r="AD15" s="118" t="s">
        <v>203</v>
      </c>
      <c r="AE15" s="118" t="s">
        <v>205</v>
      </c>
      <c r="AF15" s="118" t="s">
        <v>203</v>
      </c>
      <c r="AG15" s="118" t="s">
        <v>203</v>
      </c>
      <c r="AH15" s="118" t="s">
        <v>203</v>
      </c>
      <c r="AI15" s="123"/>
      <c r="AJ15" s="123"/>
      <c r="AK15" s="118" t="s">
        <v>203</v>
      </c>
      <c r="AL15" s="118" t="s">
        <v>203</v>
      </c>
      <c r="AM15" s="118" t="s">
        <v>203</v>
      </c>
      <c r="AN15" s="118" t="s">
        <v>203</v>
      </c>
      <c r="AO15" s="118" t="s">
        <v>203</v>
      </c>
      <c r="AP15" s="123"/>
      <c r="AQ15" s="123"/>
      <c r="AR15" s="118" t="s">
        <v>203</v>
      </c>
    </row>
    <row r="16" spans="2:44" ht="18.75">
      <c r="B16" s="118">
        <v>12</v>
      </c>
      <c r="C16" s="118" t="s">
        <v>203</v>
      </c>
      <c r="D16" s="118" t="s">
        <v>203</v>
      </c>
      <c r="E16" s="118" t="s">
        <v>203</v>
      </c>
      <c r="F16" s="118" t="s">
        <v>203</v>
      </c>
      <c r="G16" s="118" t="s">
        <v>203</v>
      </c>
      <c r="H16" s="123"/>
      <c r="I16" s="123"/>
      <c r="J16" s="118" t="s">
        <v>203</v>
      </c>
      <c r="K16" s="118" t="s">
        <v>204</v>
      </c>
      <c r="L16" s="118" t="s">
        <v>203</v>
      </c>
      <c r="M16" s="118" t="s">
        <v>203</v>
      </c>
      <c r="N16" s="118" t="s">
        <v>203</v>
      </c>
      <c r="O16" s="123"/>
      <c r="P16" s="123"/>
      <c r="Q16" s="118" t="s">
        <v>203</v>
      </c>
      <c r="R16" s="118" t="s">
        <v>203</v>
      </c>
      <c r="S16" s="118" t="s">
        <v>203</v>
      </c>
      <c r="T16" s="118" t="s">
        <v>203</v>
      </c>
      <c r="U16" s="118" t="s">
        <v>203</v>
      </c>
      <c r="V16" s="123"/>
      <c r="W16" s="123"/>
      <c r="X16" s="118" t="s">
        <v>203</v>
      </c>
      <c r="Y16" s="118" t="s">
        <v>203</v>
      </c>
      <c r="Z16" s="118" t="s">
        <v>203</v>
      </c>
      <c r="AA16" s="118" t="s">
        <v>203</v>
      </c>
      <c r="AB16" s="123"/>
      <c r="AC16" s="123"/>
      <c r="AD16" s="118" t="s">
        <v>203</v>
      </c>
      <c r="AE16" s="118" t="s">
        <v>203</v>
      </c>
      <c r="AF16" s="118" t="s">
        <v>203</v>
      </c>
      <c r="AG16" s="118" t="s">
        <v>203</v>
      </c>
      <c r="AH16" s="118" t="s">
        <v>203</v>
      </c>
      <c r="AI16" s="123"/>
      <c r="AJ16" s="123"/>
      <c r="AK16" s="118" t="s">
        <v>203</v>
      </c>
      <c r="AL16" s="118" t="s">
        <v>203</v>
      </c>
      <c r="AM16" s="118" t="s">
        <v>203</v>
      </c>
      <c r="AN16" s="118" t="s">
        <v>203</v>
      </c>
      <c r="AO16" s="118" t="s">
        <v>203</v>
      </c>
      <c r="AP16" s="123"/>
      <c r="AQ16" s="123"/>
      <c r="AR16" s="118" t="s">
        <v>203</v>
      </c>
    </row>
    <row r="17" spans="2:44" ht="18.75">
      <c r="B17" s="118">
        <v>13</v>
      </c>
      <c r="C17" s="118" t="s">
        <v>203</v>
      </c>
      <c r="D17" s="118" t="s">
        <v>203</v>
      </c>
      <c r="E17" s="118" t="s">
        <v>203</v>
      </c>
      <c r="F17" s="118" t="s">
        <v>203</v>
      </c>
      <c r="G17" s="118" t="s">
        <v>203</v>
      </c>
      <c r="H17" s="123"/>
      <c r="I17" s="123"/>
      <c r="J17" s="118" t="s">
        <v>203</v>
      </c>
      <c r="K17" s="118" t="s">
        <v>203</v>
      </c>
      <c r="L17" s="118" t="s">
        <v>203</v>
      </c>
      <c r="M17" s="118" t="s">
        <v>203</v>
      </c>
      <c r="N17" s="118" t="s">
        <v>203</v>
      </c>
      <c r="O17" s="123"/>
      <c r="P17" s="123"/>
      <c r="Q17" s="118" t="s">
        <v>203</v>
      </c>
      <c r="R17" s="118" t="s">
        <v>203</v>
      </c>
      <c r="S17" s="118" t="s">
        <v>203</v>
      </c>
      <c r="T17" s="118" t="s">
        <v>203</v>
      </c>
      <c r="U17" s="118" t="s">
        <v>203</v>
      </c>
      <c r="V17" s="123"/>
      <c r="W17" s="123"/>
      <c r="X17" s="118" t="s">
        <v>203</v>
      </c>
      <c r="Y17" s="118" t="s">
        <v>203</v>
      </c>
      <c r="Z17" s="118" t="s">
        <v>203</v>
      </c>
      <c r="AA17" s="118" t="s">
        <v>203</v>
      </c>
      <c r="AB17" s="123"/>
      <c r="AC17" s="123"/>
      <c r="AD17" s="118" t="s">
        <v>203</v>
      </c>
      <c r="AE17" s="118" t="s">
        <v>203</v>
      </c>
      <c r="AF17" s="118" t="s">
        <v>203</v>
      </c>
      <c r="AG17" s="118" t="s">
        <v>203</v>
      </c>
      <c r="AH17" s="118" t="s">
        <v>203</v>
      </c>
      <c r="AI17" s="123"/>
      <c r="AJ17" s="123"/>
      <c r="AK17" s="118" t="s">
        <v>203</v>
      </c>
      <c r="AL17" s="118" t="s">
        <v>203</v>
      </c>
      <c r="AM17" s="118" t="s">
        <v>203</v>
      </c>
      <c r="AN17" s="118" t="s">
        <v>203</v>
      </c>
      <c r="AO17" s="118" t="s">
        <v>203</v>
      </c>
      <c r="AP17" s="123"/>
      <c r="AQ17" s="123"/>
      <c r="AR17" s="118" t="s">
        <v>203</v>
      </c>
    </row>
    <row r="18" spans="2:44">
      <c r="C18" s="1">
        <v>13</v>
      </c>
    </row>
    <row r="19" spans="2:44" ht="21">
      <c r="F19" s="23" t="s">
        <v>61</v>
      </c>
    </row>
    <row r="20" spans="2:44" ht="21">
      <c r="F20" s="2" t="s">
        <v>230</v>
      </c>
      <c r="G20" s="2"/>
    </row>
  </sheetData>
  <protectedRanges>
    <protectedRange sqref="H5:I17 O5:P17 V5:W17 AB5:AC17 AI5:AJ17 AP5:AQ17" name="ช่วง1"/>
    <protectedRange sqref="C2:AR2" name="ช่วง1_2_1_1"/>
    <protectedRange sqref="C4:AR4" name="ช่วง1_2"/>
    <protectedRange sqref="C3:AR3" name="ช่วง1_2_1_1_1_2"/>
  </protectedRanges>
  <mergeCells count="14">
    <mergeCell ref="AN1:AR1"/>
    <mergeCell ref="C2:I2"/>
    <mergeCell ref="J2:P2"/>
    <mergeCell ref="Q2:W2"/>
    <mergeCell ref="X2:AA2"/>
    <mergeCell ref="AB2:AF2"/>
    <mergeCell ref="AG2:AM2"/>
    <mergeCell ref="AN2:AR2"/>
    <mergeCell ref="C1:I1"/>
    <mergeCell ref="J1:P1"/>
    <mergeCell ref="Q1:W1"/>
    <mergeCell ref="X1:AA1"/>
    <mergeCell ref="AB1:AF1"/>
    <mergeCell ref="AG1:AM1"/>
  </mergeCells>
  <pageMargins left="0.51181102362204722" right="0" top="0.39370078740157483" bottom="0" header="0.31496062992125984" footer="0.31496062992125984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Y24"/>
  <sheetViews>
    <sheetView view="pageBreakPreview" topLeftCell="A5" zoomScale="90" zoomScaleNormal="100" zoomScaleSheetLayoutView="90" workbookViewId="0">
      <selection activeCell="D18" sqref="D18"/>
    </sheetView>
  </sheetViews>
  <sheetFormatPr defaultColWidth="9" defaultRowHeight="15.75"/>
  <cols>
    <col min="1" max="1" width="1.42578125" style="1" customWidth="1"/>
    <col min="2" max="2" width="6.85546875" style="4" customWidth="1"/>
    <col min="3" max="17" width="1.7109375" style="1" customWidth="1"/>
    <col min="18" max="18" width="1.5703125" style="1" customWidth="1"/>
    <col min="19" max="19" width="1.7109375" style="1" customWidth="1"/>
    <col min="20" max="20" width="1.42578125" style="1" customWidth="1"/>
    <col min="21" max="23" width="1.7109375" style="1" customWidth="1"/>
    <col min="24" max="24" width="1.5703125" style="1" customWidth="1"/>
    <col min="25" max="31" width="1.7109375" style="1" customWidth="1"/>
    <col min="32" max="32" width="1.5703125" style="1" customWidth="1"/>
    <col min="33" max="33" width="2.28515625" style="1" customWidth="1"/>
    <col min="34" max="34" width="1.28515625" style="1" customWidth="1"/>
    <col min="35" max="36" width="1.85546875" style="1" customWidth="1"/>
    <col min="37" max="37" width="1.5703125" style="1" customWidth="1"/>
    <col min="38" max="38" width="1.42578125" style="1" customWidth="1"/>
    <col min="39" max="39" width="1.7109375" style="1" customWidth="1"/>
    <col min="40" max="40" width="1.42578125" style="1" customWidth="1"/>
    <col min="41" max="41" width="1.5703125" style="1" customWidth="1"/>
    <col min="42" max="43" width="1.7109375" style="1" customWidth="1"/>
    <col min="44" max="44" width="1.5703125" style="1" customWidth="1"/>
    <col min="45" max="45" width="1.7109375" style="1" customWidth="1"/>
    <col min="46" max="46" width="2.140625" style="1" customWidth="1"/>
    <col min="47" max="50" width="1.7109375" style="1" customWidth="1"/>
    <col min="51" max="16384" width="9" style="1"/>
  </cols>
  <sheetData>
    <row r="1" spans="2:50" ht="21">
      <c r="B1" s="164" t="s">
        <v>167</v>
      </c>
      <c r="C1" s="208">
        <v>26</v>
      </c>
      <c r="D1" s="208"/>
      <c r="E1" s="208"/>
      <c r="F1" s="208"/>
      <c r="G1" s="208"/>
      <c r="H1" s="208"/>
      <c r="I1" s="208">
        <v>27</v>
      </c>
      <c r="J1" s="208"/>
      <c r="K1" s="208"/>
      <c r="L1" s="208"/>
      <c r="M1" s="208"/>
      <c r="N1" s="208"/>
      <c r="O1" s="208"/>
      <c r="P1" s="208">
        <v>28</v>
      </c>
      <c r="Q1" s="208"/>
      <c r="R1" s="208"/>
      <c r="S1" s="208"/>
      <c r="T1" s="208"/>
      <c r="U1" s="208"/>
      <c r="V1" s="208"/>
      <c r="W1" s="208">
        <v>29</v>
      </c>
      <c r="X1" s="208"/>
      <c r="Y1" s="208"/>
      <c r="Z1" s="208"/>
      <c r="AA1" s="208"/>
      <c r="AB1" s="208"/>
      <c r="AC1" s="208"/>
      <c r="AD1" s="208">
        <v>30</v>
      </c>
      <c r="AE1" s="208"/>
      <c r="AF1" s="208"/>
      <c r="AG1" s="208"/>
      <c r="AH1" s="208"/>
      <c r="AI1" s="208"/>
      <c r="AJ1" s="208"/>
      <c r="AK1" s="208">
        <v>31</v>
      </c>
      <c r="AL1" s="208"/>
      <c r="AM1" s="208"/>
      <c r="AN1" s="208"/>
      <c r="AO1" s="208"/>
      <c r="AP1" s="208"/>
      <c r="AQ1" s="208"/>
      <c r="AR1" s="208">
        <v>32</v>
      </c>
      <c r="AS1" s="208"/>
      <c r="AT1" s="208"/>
      <c r="AU1" s="208"/>
      <c r="AV1" s="208"/>
      <c r="AW1" s="208"/>
      <c r="AX1" s="208"/>
    </row>
    <row r="2" spans="2:50" ht="21.75" customHeight="1">
      <c r="B2" s="164" t="s">
        <v>53</v>
      </c>
      <c r="C2" s="222" t="s">
        <v>231</v>
      </c>
      <c r="D2" s="222"/>
      <c r="E2" s="222"/>
      <c r="F2" s="222"/>
      <c r="G2" s="222"/>
      <c r="H2" s="222"/>
      <c r="I2" s="222" t="s">
        <v>231</v>
      </c>
      <c r="J2" s="222"/>
      <c r="K2" s="222"/>
      <c r="L2" s="222"/>
      <c r="M2" s="222"/>
      <c r="N2" s="222"/>
      <c r="O2" s="222"/>
      <c r="P2" s="222" t="s">
        <v>232</v>
      </c>
      <c r="Q2" s="222"/>
      <c r="R2" s="222"/>
      <c r="S2" s="222"/>
      <c r="T2" s="222"/>
      <c r="U2" s="222"/>
      <c r="V2" s="222"/>
      <c r="W2" s="222" t="s">
        <v>232</v>
      </c>
      <c r="X2" s="222"/>
      <c r="Y2" s="222"/>
      <c r="Z2" s="222"/>
      <c r="AA2" s="222"/>
      <c r="AB2" s="222"/>
      <c r="AC2" s="222"/>
      <c r="AD2" s="222" t="s">
        <v>232</v>
      </c>
      <c r="AE2" s="222"/>
      <c r="AF2" s="222"/>
      <c r="AG2" s="222"/>
      <c r="AH2" s="222"/>
      <c r="AI2" s="222"/>
      <c r="AJ2" s="222"/>
      <c r="AK2" s="222" t="s">
        <v>232</v>
      </c>
      <c r="AL2" s="222"/>
      <c r="AM2" s="222"/>
      <c r="AN2" s="222"/>
      <c r="AO2" s="222"/>
      <c r="AP2" s="222"/>
      <c r="AQ2" s="222"/>
      <c r="AR2" s="222" t="s">
        <v>233</v>
      </c>
      <c r="AS2" s="222"/>
      <c r="AT2" s="222"/>
      <c r="AU2" s="222"/>
      <c r="AV2" s="222"/>
      <c r="AW2" s="222"/>
      <c r="AX2" s="222"/>
    </row>
    <row r="3" spans="2:50" ht="18.75">
      <c r="B3" s="164" t="s">
        <v>52</v>
      </c>
      <c r="C3" s="33" t="s">
        <v>173</v>
      </c>
      <c r="D3" s="33" t="s">
        <v>174</v>
      </c>
      <c r="E3" s="33" t="s">
        <v>175</v>
      </c>
      <c r="F3" s="33" t="s">
        <v>176</v>
      </c>
      <c r="G3" s="68" t="s">
        <v>177</v>
      </c>
      <c r="H3" s="68" t="s">
        <v>178</v>
      </c>
      <c r="I3" s="33" t="s">
        <v>179</v>
      </c>
      <c r="J3" s="33" t="s">
        <v>180</v>
      </c>
      <c r="K3" s="33" t="s">
        <v>181</v>
      </c>
      <c r="L3" s="33" t="s">
        <v>182</v>
      </c>
      <c r="M3" s="33" t="s">
        <v>183</v>
      </c>
      <c r="N3" s="68" t="s">
        <v>184</v>
      </c>
      <c r="O3" s="68" t="s">
        <v>185</v>
      </c>
      <c r="P3" s="66" t="s">
        <v>187</v>
      </c>
      <c r="Q3" s="66" t="s">
        <v>188</v>
      </c>
      <c r="R3" s="66" t="s">
        <v>189</v>
      </c>
      <c r="S3" s="66" t="s">
        <v>190</v>
      </c>
      <c r="T3" s="68" t="s">
        <v>191</v>
      </c>
      <c r="U3" s="68" t="s">
        <v>192</v>
      </c>
      <c r="V3" s="68" t="s">
        <v>193</v>
      </c>
      <c r="W3" s="66" t="s">
        <v>194</v>
      </c>
      <c r="X3" s="66" t="s">
        <v>217</v>
      </c>
      <c r="Y3" s="68" t="s">
        <v>211</v>
      </c>
      <c r="Z3" s="66" t="s">
        <v>212</v>
      </c>
      <c r="AA3" s="66" t="s">
        <v>213</v>
      </c>
      <c r="AB3" s="68" t="s">
        <v>214</v>
      </c>
      <c r="AC3" s="68" t="s">
        <v>215</v>
      </c>
      <c r="AD3" s="66" t="s">
        <v>216</v>
      </c>
      <c r="AE3" s="66" t="s">
        <v>171</v>
      </c>
      <c r="AF3" s="66" t="s">
        <v>172</v>
      </c>
      <c r="AG3" s="66" t="s">
        <v>173</v>
      </c>
      <c r="AH3" s="66" t="s">
        <v>174</v>
      </c>
      <c r="AI3" s="68" t="s">
        <v>175</v>
      </c>
      <c r="AJ3" s="68" t="s">
        <v>176</v>
      </c>
      <c r="AK3" s="66" t="s">
        <v>177</v>
      </c>
      <c r="AL3" s="66" t="s">
        <v>178</v>
      </c>
      <c r="AM3" s="66" t="s">
        <v>179</v>
      </c>
      <c r="AN3" s="66" t="s">
        <v>180</v>
      </c>
      <c r="AO3" s="66" t="s">
        <v>181</v>
      </c>
      <c r="AP3" s="68" t="s">
        <v>182</v>
      </c>
      <c r="AQ3" s="68" t="s">
        <v>183</v>
      </c>
      <c r="AR3" s="67" t="s">
        <v>184</v>
      </c>
      <c r="AS3" s="66" t="s">
        <v>185</v>
      </c>
      <c r="AT3" s="68" t="s">
        <v>186</v>
      </c>
      <c r="AU3" s="68" t="s">
        <v>187</v>
      </c>
      <c r="AV3" s="33" t="s">
        <v>188</v>
      </c>
      <c r="AW3" s="68" t="s">
        <v>189</v>
      </c>
      <c r="AX3" s="68" t="s">
        <v>190</v>
      </c>
    </row>
    <row r="4" spans="2:50" ht="18.75">
      <c r="B4" s="164" t="s">
        <v>195</v>
      </c>
      <c r="C4" s="21" t="s">
        <v>200</v>
      </c>
      <c r="D4" s="21" t="s">
        <v>201</v>
      </c>
      <c r="E4" s="21" t="s">
        <v>202</v>
      </c>
      <c r="F4" s="21" t="s">
        <v>196</v>
      </c>
      <c r="G4" s="69" t="s">
        <v>197</v>
      </c>
      <c r="H4" s="69" t="s">
        <v>198</v>
      </c>
      <c r="I4" s="21" t="s">
        <v>199</v>
      </c>
      <c r="J4" s="21" t="s">
        <v>200</v>
      </c>
      <c r="K4" s="21" t="s">
        <v>201</v>
      </c>
      <c r="L4" s="21" t="s">
        <v>202</v>
      </c>
      <c r="M4" s="21" t="s">
        <v>196</v>
      </c>
      <c r="N4" s="69" t="s">
        <v>197</v>
      </c>
      <c r="O4" s="69" t="s">
        <v>198</v>
      </c>
      <c r="P4" s="67" t="s">
        <v>199</v>
      </c>
      <c r="Q4" s="67" t="s">
        <v>200</v>
      </c>
      <c r="R4" s="67" t="s">
        <v>201</v>
      </c>
      <c r="S4" s="67" t="s">
        <v>202</v>
      </c>
      <c r="T4" s="69" t="s">
        <v>196</v>
      </c>
      <c r="U4" s="69" t="s">
        <v>197</v>
      </c>
      <c r="V4" s="69" t="s">
        <v>198</v>
      </c>
      <c r="W4" s="67" t="s">
        <v>199</v>
      </c>
      <c r="X4" s="67" t="s">
        <v>200</v>
      </c>
      <c r="Y4" s="69" t="s">
        <v>201</v>
      </c>
      <c r="Z4" s="67" t="s">
        <v>202</v>
      </c>
      <c r="AA4" s="67" t="s">
        <v>196</v>
      </c>
      <c r="AB4" s="69" t="s">
        <v>197</v>
      </c>
      <c r="AC4" s="69" t="s">
        <v>198</v>
      </c>
      <c r="AD4" s="67" t="s">
        <v>199</v>
      </c>
      <c r="AE4" s="67" t="s">
        <v>200</v>
      </c>
      <c r="AF4" s="67" t="s">
        <v>201</v>
      </c>
      <c r="AG4" s="67" t="s">
        <v>202</v>
      </c>
      <c r="AH4" s="67" t="s">
        <v>196</v>
      </c>
      <c r="AI4" s="69" t="s">
        <v>197</v>
      </c>
      <c r="AJ4" s="69" t="s">
        <v>198</v>
      </c>
      <c r="AK4" s="67" t="s">
        <v>199</v>
      </c>
      <c r="AL4" s="67" t="s">
        <v>200</v>
      </c>
      <c r="AM4" s="67" t="s">
        <v>201</v>
      </c>
      <c r="AN4" s="67" t="s">
        <v>202</v>
      </c>
      <c r="AO4" s="67" t="s">
        <v>196</v>
      </c>
      <c r="AP4" s="69" t="s">
        <v>197</v>
      </c>
      <c r="AQ4" s="69" t="s">
        <v>198</v>
      </c>
      <c r="AR4" s="67" t="s">
        <v>199</v>
      </c>
      <c r="AS4" s="67" t="s">
        <v>200</v>
      </c>
      <c r="AT4" s="69" t="s">
        <v>201</v>
      </c>
      <c r="AU4" s="69" t="s">
        <v>202</v>
      </c>
      <c r="AV4" s="67" t="s">
        <v>196</v>
      </c>
      <c r="AW4" s="69" t="s">
        <v>197</v>
      </c>
      <c r="AX4" s="69" t="s">
        <v>198</v>
      </c>
    </row>
    <row r="5" spans="2:50" ht="18.75">
      <c r="B5" s="118">
        <v>1</v>
      </c>
      <c r="C5" s="118" t="s">
        <v>203</v>
      </c>
      <c r="D5" s="118" t="s">
        <v>203</v>
      </c>
      <c r="E5" s="118" t="s">
        <v>203</v>
      </c>
      <c r="F5" s="118" t="s">
        <v>203</v>
      </c>
      <c r="G5" s="123"/>
      <c r="H5" s="123"/>
      <c r="I5" s="118" t="s">
        <v>203</v>
      </c>
      <c r="J5" s="118" t="s">
        <v>203</v>
      </c>
      <c r="K5" s="118" t="s">
        <v>203</v>
      </c>
      <c r="L5" s="118" t="s">
        <v>203</v>
      </c>
      <c r="M5" s="118" t="s">
        <v>203</v>
      </c>
      <c r="N5" s="123"/>
      <c r="O5" s="123"/>
      <c r="P5" s="118" t="s">
        <v>203</v>
      </c>
      <c r="Q5" s="118" t="s">
        <v>203</v>
      </c>
      <c r="R5" s="118" t="s">
        <v>203</v>
      </c>
      <c r="S5" s="118" t="s">
        <v>203</v>
      </c>
      <c r="T5" s="123"/>
      <c r="U5" s="123"/>
      <c r="V5" s="123"/>
      <c r="W5" s="118" t="s">
        <v>203</v>
      </c>
      <c r="X5" s="118" t="s">
        <v>203</v>
      </c>
      <c r="Y5" s="123"/>
      <c r="Z5" s="118" t="s">
        <v>203</v>
      </c>
      <c r="AA5" s="118" t="s">
        <v>203</v>
      </c>
      <c r="AB5" s="123"/>
      <c r="AC5" s="123"/>
      <c r="AD5" s="118" t="s">
        <v>203</v>
      </c>
      <c r="AE5" s="118" t="s">
        <v>203</v>
      </c>
      <c r="AF5" s="118" t="s">
        <v>203</v>
      </c>
      <c r="AG5" s="118" t="s">
        <v>203</v>
      </c>
      <c r="AH5" s="118" t="s">
        <v>203</v>
      </c>
      <c r="AI5" s="123"/>
      <c r="AJ5" s="123"/>
      <c r="AK5" s="118" t="s">
        <v>203</v>
      </c>
      <c r="AL5" s="118" t="s">
        <v>203</v>
      </c>
      <c r="AM5" s="118" t="s">
        <v>203</v>
      </c>
      <c r="AN5" s="118" t="s">
        <v>203</v>
      </c>
      <c r="AO5" s="118" t="s">
        <v>203</v>
      </c>
      <c r="AP5" s="123"/>
      <c r="AQ5" s="123"/>
      <c r="AR5" s="118" t="s">
        <v>203</v>
      </c>
      <c r="AS5" s="118" t="s">
        <v>203</v>
      </c>
      <c r="AT5" s="123"/>
      <c r="AU5" s="123"/>
      <c r="AV5" s="118" t="s">
        <v>203</v>
      </c>
      <c r="AW5" s="123"/>
      <c r="AX5" s="123"/>
    </row>
    <row r="6" spans="2:50" ht="18.75">
      <c r="B6" s="118">
        <v>2</v>
      </c>
      <c r="C6" s="118" t="s">
        <v>203</v>
      </c>
      <c r="D6" s="118" t="s">
        <v>203</v>
      </c>
      <c r="E6" s="118" t="s">
        <v>203</v>
      </c>
      <c r="F6" s="118" t="s">
        <v>203</v>
      </c>
      <c r="G6" s="123"/>
      <c r="H6" s="123"/>
      <c r="I6" s="118" t="s">
        <v>203</v>
      </c>
      <c r="J6" s="118" t="s">
        <v>203</v>
      </c>
      <c r="K6" s="118" t="s">
        <v>203</v>
      </c>
      <c r="L6" s="118" t="s">
        <v>203</v>
      </c>
      <c r="M6" s="118" t="s">
        <v>203</v>
      </c>
      <c r="N6" s="123"/>
      <c r="O6" s="123"/>
      <c r="P6" s="118" t="s">
        <v>203</v>
      </c>
      <c r="Q6" s="118" t="s">
        <v>203</v>
      </c>
      <c r="R6" s="118" t="s">
        <v>203</v>
      </c>
      <c r="S6" s="118" t="s">
        <v>203</v>
      </c>
      <c r="T6" s="123"/>
      <c r="U6" s="123"/>
      <c r="V6" s="123"/>
      <c r="W6" s="118" t="s">
        <v>203</v>
      </c>
      <c r="X6" s="118" t="s">
        <v>203</v>
      </c>
      <c r="Y6" s="123"/>
      <c r="Z6" s="118" t="s">
        <v>203</v>
      </c>
      <c r="AA6" s="118" t="s">
        <v>203</v>
      </c>
      <c r="AB6" s="123"/>
      <c r="AC6" s="123"/>
      <c r="AD6" s="118" t="s">
        <v>203</v>
      </c>
      <c r="AE6" s="118" t="s">
        <v>203</v>
      </c>
      <c r="AF6" s="118" t="s">
        <v>203</v>
      </c>
      <c r="AG6" s="118" t="s">
        <v>203</v>
      </c>
      <c r="AH6" s="118" t="s">
        <v>203</v>
      </c>
      <c r="AI6" s="123"/>
      <c r="AJ6" s="123"/>
      <c r="AK6" s="118" t="s">
        <v>203</v>
      </c>
      <c r="AL6" s="118" t="s">
        <v>203</v>
      </c>
      <c r="AM6" s="118" t="s">
        <v>203</v>
      </c>
      <c r="AN6" s="118" t="s">
        <v>203</v>
      </c>
      <c r="AO6" s="118" t="s">
        <v>203</v>
      </c>
      <c r="AP6" s="123"/>
      <c r="AQ6" s="123"/>
      <c r="AR6" s="118" t="s">
        <v>203</v>
      </c>
      <c r="AS6" s="118" t="s">
        <v>203</v>
      </c>
      <c r="AT6" s="123"/>
      <c r="AU6" s="123"/>
      <c r="AV6" s="118" t="s">
        <v>203</v>
      </c>
      <c r="AW6" s="123"/>
      <c r="AX6" s="123"/>
    </row>
    <row r="7" spans="2:50" ht="18.75">
      <c r="B7" s="118">
        <v>3</v>
      </c>
      <c r="C7" s="118" t="s">
        <v>203</v>
      </c>
      <c r="D7" s="118" t="s">
        <v>203</v>
      </c>
      <c r="E7" s="118" t="s">
        <v>203</v>
      </c>
      <c r="F7" s="118" t="s">
        <v>203</v>
      </c>
      <c r="G7" s="123"/>
      <c r="H7" s="123"/>
      <c r="I7" s="118" t="s">
        <v>203</v>
      </c>
      <c r="J7" s="118" t="s">
        <v>203</v>
      </c>
      <c r="K7" s="118" t="s">
        <v>203</v>
      </c>
      <c r="L7" s="118" t="s">
        <v>203</v>
      </c>
      <c r="M7" s="118" t="s">
        <v>203</v>
      </c>
      <c r="N7" s="123"/>
      <c r="O7" s="123"/>
      <c r="P7" s="118" t="s">
        <v>203</v>
      </c>
      <c r="Q7" s="118" t="s">
        <v>203</v>
      </c>
      <c r="R7" s="118" t="s">
        <v>203</v>
      </c>
      <c r="S7" s="118" t="s">
        <v>203</v>
      </c>
      <c r="T7" s="123"/>
      <c r="U7" s="123"/>
      <c r="V7" s="123"/>
      <c r="W7" s="118" t="s">
        <v>203</v>
      </c>
      <c r="X7" s="118" t="s">
        <v>203</v>
      </c>
      <c r="Y7" s="123"/>
      <c r="Z7" s="118" t="s">
        <v>203</v>
      </c>
      <c r="AA7" s="118" t="s">
        <v>203</v>
      </c>
      <c r="AB7" s="123"/>
      <c r="AC7" s="123"/>
      <c r="AD7" s="118" t="s">
        <v>203</v>
      </c>
      <c r="AE7" s="118" t="s">
        <v>203</v>
      </c>
      <c r="AF7" s="118" t="s">
        <v>203</v>
      </c>
      <c r="AG7" s="118" t="s">
        <v>203</v>
      </c>
      <c r="AH7" s="118" t="s">
        <v>203</v>
      </c>
      <c r="AI7" s="123"/>
      <c r="AJ7" s="123"/>
      <c r="AK7" s="118" t="s">
        <v>203</v>
      </c>
      <c r="AL7" s="118" t="s">
        <v>203</v>
      </c>
      <c r="AM7" s="118" t="s">
        <v>203</v>
      </c>
      <c r="AN7" s="118" t="s">
        <v>203</v>
      </c>
      <c r="AO7" s="118" t="s">
        <v>203</v>
      </c>
      <c r="AP7" s="123"/>
      <c r="AQ7" s="123"/>
      <c r="AR7" s="118" t="s">
        <v>203</v>
      </c>
      <c r="AS7" s="118" t="s">
        <v>203</v>
      </c>
      <c r="AT7" s="123"/>
      <c r="AU7" s="123"/>
      <c r="AV7" s="118" t="s">
        <v>203</v>
      </c>
      <c r="AW7" s="123"/>
      <c r="AX7" s="123"/>
    </row>
    <row r="8" spans="2:50" ht="18.75">
      <c r="B8" s="118">
        <v>4</v>
      </c>
      <c r="C8" s="118" t="s">
        <v>203</v>
      </c>
      <c r="D8" s="118" t="s">
        <v>203</v>
      </c>
      <c r="E8" s="118" t="s">
        <v>203</v>
      </c>
      <c r="F8" s="118" t="s">
        <v>203</v>
      </c>
      <c r="G8" s="123"/>
      <c r="H8" s="123"/>
      <c r="I8" s="118" t="s">
        <v>203</v>
      </c>
      <c r="J8" s="118" t="s">
        <v>203</v>
      </c>
      <c r="K8" s="118" t="s">
        <v>203</v>
      </c>
      <c r="L8" s="118" t="s">
        <v>203</v>
      </c>
      <c r="M8" s="118" t="s">
        <v>203</v>
      </c>
      <c r="N8" s="123"/>
      <c r="O8" s="123"/>
      <c r="P8" s="118" t="s">
        <v>203</v>
      </c>
      <c r="Q8" s="118" t="s">
        <v>203</v>
      </c>
      <c r="R8" s="118" t="s">
        <v>203</v>
      </c>
      <c r="S8" s="118" t="s">
        <v>203</v>
      </c>
      <c r="T8" s="123"/>
      <c r="U8" s="123"/>
      <c r="V8" s="123"/>
      <c r="W8" s="118" t="s">
        <v>203</v>
      </c>
      <c r="X8" s="118" t="s">
        <v>203</v>
      </c>
      <c r="Y8" s="123"/>
      <c r="Z8" s="118" t="s">
        <v>203</v>
      </c>
      <c r="AA8" s="118" t="s">
        <v>203</v>
      </c>
      <c r="AB8" s="123"/>
      <c r="AC8" s="123"/>
      <c r="AD8" s="118" t="s">
        <v>203</v>
      </c>
      <c r="AE8" s="118" t="s">
        <v>203</v>
      </c>
      <c r="AF8" s="118" t="s">
        <v>203</v>
      </c>
      <c r="AG8" s="118" t="s">
        <v>203</v>
      </c>
      <c r="AH8" s="118" t="s">
        <v>203</v>
      </c>
      <c r="AI8" s="123"/>
      <c r="AJ8" s="123"/>
      <c r="AK8" s="118" t="s">
        <v>203</v>
      </c>
      <c r="AL8" s="118" t="s">
        <v>203</v>
      </c>
      <c r="AM8" s="118" t="s">
        <v>203</v>
      </c>
      <c r="AN8" s="118" t="s">
        <v>203</v>
      </c>
      <c r="AO8" s="118" t="s">
        <v>203</v>
      </c>
      <c r="AP8" s="123"/>
      <c r="AQ8" s="123"/>
      <c r="AR8" s="118" t="s">
        <v>203</v>
      </c>
      <c r="AS8" s="118" t="s">
        <v>203</v>
      </c>
      <c r="AT8" s="123"/>
      <c r="AU8" s="123"/>
      <c r="AV8" s="118" t="s">
        <v>203</v>
      </c>
      <c r="AW8" s="123"/>
      <c r="AX8" s="123"/>
    </row>
    <row r="9" spans="2:50" ht="18.75">
      <c r="B9" s="118">
        <v>5</v>
      </c>
      <c r="C9" s="118" t="s">
        <v>203</v>
      </c>
      <c r="D9" s="118" t="s">
        <v>203</v>
      </c>
      <c r="E9" s="118" t="s">
        <v>203</v>
      </c>
      <c r="F9" s="118" t="s">
        <v>203</v>
      </c>
      <c r="G9" s="123"/>
      <c r="H9" s="123"/>
      <c r="I9" s="118" t="s">
        <v>203</v>
      </c>
      <c r="J9" s="118" t="s">
        <v>203</v>
      </c>
      <c r="K9" s="118" t="s">
        <v>203</v>
      </c>
      <c r="L9" s="118" t="s">
        <v>203</v>
      </c>
      <c r="M9" s="118" t="s">
        <v>203</v>
      </c>
      <c r="N9" s="123"/>
      <c r="O9" s="123"/>
      <c r="P9" s="118" t="s">
        <v>203</v>
      </c>
      <c r="Q9" s="118" t="s">
        <v>203</v>
      </c>
      <c r="R9" s="118" t="s">
        <v>203</v>
      </c>
      <c r="S9" s="118" t="s">
        <v>203</v>
      </c>
      <c r="T9" s="123"/>
      <c r="U9" s="123"/>
      <c r="V9" s="123"/>
      <c r="W9" s="118" t="s">
        <v>203</v>
      </c>
      <c r="X9" s="118" t="s">
        <v>203</v>
      </c>
      <c r="Y9" s="123"/>
      <c r="Z9" s="118" t="s">
        <v>203</v>
      </c>
      <c r="AA9" s="118" t="s">
        <v>203</v>
      </c>
      <c r="AB9" s="123"/>
      <c r="AC9" s="123"/>
      <c r="AD9" s="118" t="s">
        <v>203</v>
      </c>
      <c r="AE9" s="118" t="s">
        <v>203</v>
      </c>
      <c r="AF9" s="118" t="s">
        <v>203</v>
      </c>
      <c r="AG9" s="118" t="s">
        <v>203</v>
      </c>
      <c r="AH9" s="118" t="s">
        <v>203</v>
      </c>
      <c r="AI9" s="123"/>
      <c r="AJ9" s="123"/>
      <c r="AK9" s="118" t="s">
        <v>203</v>
      </c>
      <c r="AL9" s="118" t="s">
        <v>203</v>
      </c>
      <c r="AM9" s="118" t="s">
        <v>203</v>
      </c>
      <c r="AN9" s="118" t="s">
        <v>203</v>
      </c>
      <c r="AO9" s="118" t="s">
        <v>203</v>
      </c>
      <c r="AP9" s="123"/>
      <c r="AQ9" s="123"/>
      <c r="AR9" s="118" t="s">
        <v>203</v>
      </c>
      <c r="AS9" s="118" t="s">
        <v>204</v>
      </c>
      <c r="AT9" s="123"/>
      <c r="AU9" s="123"/>
      <c r="AV9" s="118" t="s">
        <v>203</v>
      </c>
      <c r="AW9" s="123"/>
      <c r="AX9" s="123"/>
    </row>
    <row r="10" spans="2:50" ht="18.75">
      <c r="B10" s="118">
        <v>6</v>
      </c>
      <c r="C10" s="118" t="s">
        <v>203</v>
      </c>
      <c r="D10" s="118" t="s">
        <v>203</v>
      </c>
      <c r="E10" s="118" t="s">
        <v>203</v>
      </c>
      <c r="F10" s="118" t="s">
        <v>203</v>
      </c>
      <c r="G10" s="123"/>
      <c r="H10" s="123"/>
      <c r="I10" s="118" t="s">
        <v>203</v>
      </c>
      <c r="J10" s="118" t="s">
        <v>205</v>
      </c>
      <c r="K10" s="118" t="s">
        <v>203</v>
      </c>
      <c r="L10" s="118" t="s">
        <v>203</v>
      </c>
      <c r="M10" s="118" t="s">
        <v>203</v>
      </c>
      <c r="N10" s="123"/>
      <c r="O10" s="123"/>
      <c r="P10" s="118" t="s">
        <v>203</v>
      </c>
      <c r="Q10" s="118" t="s">
        <v>203</v>
      </c>
      <c r="R10" s="118" t="s">
        <v>203</v>
      </c>
      <c r="S10" s="118" t="s">
        <v>203</v>
      </c>
      <c r="T10" s="123"/>
      <c r="U10" s="123"/>
      <c r="V10" s="123"/>
      <c r="W10" s="118" t="s">
        <v>203</v>
      </c>
      <c r="X10" s="118" t="s">
        <v>203</v>
      </c>
      <c r="Y10" s="123"/>
      <c r="Z10" s="118" t="s">
        <v>203</v>
      </c>
      <c r="AA10" s="118" t="s">
        <v>203</v>
      </c>
      <c r="AB10" s="123"/>
      <c r="AC10" s="123"/>
      <c r="AD10" s="118" t="s">
        <v>203</v>
      </c>
      <c r="AE10" s="118" t="s">
        <v>203</v>
      </c>
      <c r="AF10" s="118" t="s">
        <v>203</v>
      </c>
      <c r="AG10" s="118" t="s">
        <v>203</v>
      </c>
      <c r="AH10" s="118" t="s">
        <v>203</v>
      </c>
      <c r="AI10" s="123"/>
      <c r="AJ10" s="123"/>
      <c r="AK10" s="118" t="s">
        <v>203</v>
      </c>
      <c r="AL10" s="118" t="s">
        <v>203</v>
      </c>
      <c r="AM10" s="118" t="s">
        <v>203</v>
      </c>
      <c r="AN10" s="118" t="s">
        <v>203</v>
      </c>
      <c r="AO10" s="118" t="s">
        <v>203</v>
      </c>
      <c r="AP10" s="123"/>
      <c r="AQ10" s="123"/>
      <c r="AR10" s="118" t="s">
        <v>203</v>
      </c>
      <c r="AS10" s="118" t="s">
        <v>203</v>
      </c>
      <c r="AT10" s="123"/>
      <c r="AU10" s="123"/>
      <c r="AV10" s="118" t="s">
        <v>203</v>
      </c>
      <c r="AW10" s="123"/>
      <c r="AX10" s="123"/>
    </row>
    <row r="11" spans="2:50" ht="18.75">
      <c r="B11" s="118">
        <v>7</v>
      </c>
      <c r="C11" s="118" t="s">
        <v>203</v>
      </c>
      <c r="D11" s="118" t="s">
        <v>203</v>
      </c>
      <c r="E11" s="118" t="s">
        <v>203</v>
      </c>
      <c r="F11" s="118" t="s">
        <v>203</v>
      </c>
      <c r="G11" s="123"/>
      <c r="H11" s="123"/>
      <c r="I11" s="118" t="s">
        <v>203</v>
      </c>
      <c r="J11" s="118" t="s">
        <v>203</v>
      </c>
      <c r="K11" s="118" t="s">
        <v>203</v>
      </c>
      <c r="L11" s="118" t="s">
        <v>203</v>
      </c>
      <c r="M11" s="118" t="s">
        <v>203</v>
      </c>
      <c r="N11" s="123"/>
      <c r="O11" s="123"/>
      <c r="P11" s="118" t="s">
        <v>203</v>
      </c>
      <c r="Q11" s="118" t="s">
        <v>203</v>
      </c>
      <c r="R11" s="118" t="s">
        <v>203</v>
      </c>
      <c r="S11" s="118" t="s">
        <v>203</v>
      </c>
      <c r="T11" s="123"/>
      <c r="U11" s="123"/>
      <c r="V11" s="123"/>
      <c r="W11" s="118" t="s">
        <v>203</v>
      </c>
      <c r="X11" s="118" t="s">
        <v>203</v>
      </c>
      <c r="Y11" s="123"/>
      <c r="Z11" s="118" t="s">
        <v>203</v>
      </c>
      <c r="AA11" s="118" t="s">
        <v>203</v>
      </c>
      <c r="AB11" s="123"/>
      <c r="AC11" s="123"/>
      <c r="AD11" s="118" t="s">
        <v>203</v>
      </c>
      <c r="AE11" s="118" t="s">
        <v>203</v>
      </c>
      <c r="AF11" s="118" t="s">
        <v>203</v>
      </c>
      <c r="AG11" s="118" t="s">
        <v>203</v>
      </c>
      <c r="AH11" s="118" t="s">
        <v>203</v>
      </c>
      <c r="AI11" s="123"/>
      <c r="AJ11" s="123"/>
      <c r="AK11" s="118" t="s">
        <v>203</v>
      </c>
      <c r="AL11" s="118" t="s">
        <v>203</v>
      </c>
      <c r="AM11" s="118" t="s">
        <v>203</v>
      </c>
      <c r="AN11" s="118" t="s">
        <v>203</v>
      </c>
      <c r="AO11" s="118" t="s">
        <v>203</v>
      </c>
      <c r="AP11" s="123"/>
      <c r="AQ11" s="123"/>
      <c r="AR11" s="118" t="s">
        <v>203</v>
      </c>
      <c r="AS11" s="118" t="s">
        <v>203</v>
      </c>
      <c r="AT11" s="123"/>
      <c r="AU11" s="123"/>
      <c r="AV11" s="118" t="s">
        <v>203</v>
      </c>
      <c r="AW11" s="123"/>
      <c r="AX11" s="123"/>
    </row>
    <row r="12" spans="2:50" ht="18.75">
      <c r="B12" s="118">
        <v>8</v>
      </c>
      <c r="C12" s="118" t="s">
        <v>203</v>
      </c>
      <c r="D12" s="118" t="s">
        <v>203</v>
      </c>
      <c r="E12" s="118" t="s">
        <v>203</v>
      </c>
      <c r="F12" s="118" t="s">
        <v>203</v>
      </c>
      <c r="G12" s="123"/>
      <c r="H12" s="123"/>
      <c r="I12" s="118" t="s">
        <v>203</v>
      </c>
      <c r="J12" s="118" t="s">
        <v>203</v>
      </c>
      <c r="K12" s="118" t="s">
        <v>203</v>
      </c>
      <c r="L12" s="118" t="s">
        <v>203</v>
      </c>
      <c r="M12" s="118" t="s">
        <v>203</v>
      </c>
      <c r="N12" s="123"/>
      <c r="O12" s="123"/>
      <c r="P12" s="118" t="s">
        <v>203</v>
      </c>
      <c r="Q12" s="118" t="s">
        <v>203</v>
      </c>
      <c r="R12" s="118" t="s">
        <v>203</v>
      </c>
      <c r="S12" s="118" t="s">
        <v>203</v>
      </c>
      <c r="T12" s="123"/>
      <c r="U12" s="123"/>
      <c r="V12" s="123"/>
      <c r="W12" s="118" t="s">
        <v>203</v>
      </c>
      <c r="X12" s="118" t="s">
        <v>203</v>
      </c>
      <c r="Y12" s="123"/>
      <c r="Z12" s="118" t="s">
        <v>203</v>
      </c>
      <c r="AA12" s="118" t="s">
        <v>203</v>
      </c>
      <c r="AB12" s="123"/>
      <c r="AC12" s="123"/>
      <c r="AD12" s="118" t="s">
        <v>203</v>
      </c>
      <c r="AE12" s="118" t="s">
        <v>203</v>
      </c>
      <c r="AF12" s="118" t="s">
        <v>203</v>
      </c>
      <c r="AG12" s="118" t="s">
        <v>203</v>
      </c>
      <c r="AH12" s="118" t="s">
        <v>203</v>
      </c>
      <c r="AI12" s="123"/>
      <c r="AJ12" s="123"/>
      <c r="AK12" s="118" t="s">
        <v>203</v>
      </c>
      <c r="AL12" s="118" t="s">
        <v>203</v>
      </c>
      <c r="AM12" s="118" t="s">
        <v>203</v>
      </c>
      <c r="AN12" s="118" t="s">
        <v>203</v>
      </c>
      <c r="AO12" s="118" t="s">
        <v>203</v>
      </c>
      <c r="AP12" s="123"/>
      <c r="AQ12" s="123"/>
      <c r="AR12" s="118" t="s">
        <v>203</v>
      </c>
      <c r="AS12" s="118" t="s">
        <v>203</v>
      </c>
      <c r="AT12" s="123"/>
      <c r="AU12" s="123"/>
      <c r="AV12" s="118" t="s">
        <v>203</v>
      </c>
      <c r="AW12" s="123"/>
      <c r="AX12" s="123"/>
    </row>
    <row r="13" spans="2:50" ht="18.75">
      <c r="B13" s="118">
        <v>9</v>
      </c>
      <c r="C13" s="118" t="s">
        <v>203</v>
      </c>
      <c r="D13" s="118" t="s">
        <v>203</v>
      </c>
      <c r="E13" s="118" t="s">
        <v>203</v>
      </c>
      <c r="F13" s="118" t="s">
        <v>203</v>
      </c>
      <c r="G13" s="123"/>
      <c r="H13" s="123"/>
      <c r="I13" s="118" t="s">
        <v>203</v>
      </c>
      <c r="J13" s="118" t="s">
        <v>203</v>
      </c>
      <c r="K13" s="118" t="s">
        <v>203</v>
      </c>
      <c r="L13" s="118" t="s">
        <v>203</v>
      </c>
      <c r="M13" s="118" t="s">
        <v>203</v>
      </c>
      <c r="N13" s="123"/>
      <c r="O13" s="123"/>
      <c r="P13" s="118" t="s">
        <v>203</v>
      </c>
      <c r="Q13" s="118" t="s">
        <v>203</v>
      </c>
      <c r="R13" s="118" t="s">
        <v>203</v>
      </c>
      <c r="S13" s="118" t="s">
        <v>203</v>
      </c>
      <c r="T13" s="123"/>
      <c r="U13" s="123"/>
      <c r="V13" s="123"/>
      <c r="W13" s="118" t="s">
        <v>203</v>
      </c>
      <c r="X13" s="118" t="s">
        <v>203</v>
      </c>
      <c r="Y13" s="123"/>
      <c r="Z13" s="118" t="s">
        <v>203</v>
      </c>
      <c r="AA13" s="118" t="s">
        <v>203</v>
      </c>
      <c r="AB13" s="123"/>
      <c r="AC13" s="123"/>
      <c r="AD13" s="118" t="s">
        <v>203</v>
      </c>
      <c r="AE13" s="118" t="s">
        <v>203</v>
      </c>
      <c r="AF13" s="118" t="s">
        <v>203</v>
      </c>
      <c r="AG13" s="118" t="s">
        <v>203</v>
      </c>
      <c r="AH13" s="118" t="s">
        <v>203</v>
      </c>
      <c r="AI13" s="123"/>
      <c r="AJ13" s="123"/>
      <c r="AK13" s="118" t="s">
        <v>203</v>
      </c>
      <c r="AL13" s="118" t="s">
        <v>203</v>
      </c>
      <c r="AM13" s="118" t="s">
        <v>203</v>
      </c>
      <c r="AN13" s="168" t="s">
        <v>204</v>
      </c>
      <c r="AO13" s="118" t="s">
        <v>203</v>
      </c>
      <c r="AP13" s="123"/>
      <c r="AQ13" s="123"/>
      <c r="AR13" s="118" t="s">
        <v>203</v>
      </c>
      <c r="AS13" s="118" t="s">
        <v>203</v>
      </c>
      <c r="AT13" s="123"/>
      <c r="AU13" s="123"/>
      <c r="AV13" s="118" t="s">
        <v>203</v>
      </c>
      <c r="AW13" s="123"/>
      <c r="AX13" s="123"/>
    </row>
    <row r="14" spans="2:50" ht="18.75">
      <c r="B14" s="118">
        <v>10</v>
      </c>
      <c r="C14" s="118" t="s">
        <v>203</v>
      </c>
      <c r="D14" s="118" t="s">
        <v>203</v>
      </c>
      <c r="E14" s="118" t="s">
        <v>203</v>
      </c>
      <c r="F14" s="118" t="s">
        <v>203</v>
      </c>
      <c r="G14" s="123"/>
      <c r="H14" s="123"/>
      <c r="I14" s="118" t="s">
        <v>203</v>
      </c>
      <c r="J14" s="118" t="s">
        <v>203</v>
      </c>
      <c r="K14" s="118" t="s">
        <v>203</v>
      </c>
      <c r="L14" s="118" t="s">
        <v>203</v>
      </c>
      <c r="M14" s="118" t="s">
        <v>203</v>
      </c>
      <c r="N14" s="123"/>
      <c r="O14" s="123"/>
      <c r="P14" s="118" t="s">
        <v>203</v>
      </c>
      <c r="Q14" s="118" t="s">
        <v>203</v>
      </c>
      <c r="R14" s="118" t="s">
        <v>203</v>
      </c>
      <c r="S14" s="118" t="s">
        <v>203</v>
      </c>
      <c r="T14" s="123"/>
      <c r="U14" s="123"/>
      <c r="V14" s="123"/>
      <c r="W14" s="118" t="s">
        <v>203</v>
      </c>
      <c r="X14" s="118" t="s">
        <v>203</v>
      </c>
      <c r="Y14" s="123"/>
      <c r="Z14" s="118" t="s">
        <v>203</v>
      </c>
      <c r="AA14" s="118" t="s">
        <v>203</v>
      </c>
      <c r="AB14" s="123"/>
      <c r="AC14" s="123"/>
      <c r="AD14" s="118" t="s">
        <v>203</v>
      </c>
      <c r="AE14" s="118" t="s">
        <v>203</v>
      </c>
      <c r="AF14" s="118" t="s">
        <v>203</v>
      </c>
      <c r="AG14" s="118" t="s">
        <v>203</v>
      </c>
      <c r="AH14" s="118" t="s">
        <v>203</v>
      </c>
      <c r="AI14" s="123"/>
      <c r="AJ14" s="123"/>
      <c r="AK14" s="118" t="s">
        <v>203</v>
      </c>
      <c r="AL14" s="118" t="s">
        <v>203</v>
      </c>
      <c r="AM14" s="118" t="s">
        <v>203</v>
      </c>
      <c r="AN14" s="118" t="s">
        <v>203</v>
      </c>
      <c r="AO14" s="118" t="s">
        <v>203</v>
      </c>
      <c r="AP14" s="123"/>
      <c r="AQ14" s="123"/>
      <c r="AR14" s="118" t="s">
        <v>203</v>
      </c>
      <c r="AS14" s="118" t="s">
        <v>203</v>
      </c>
      <c r="AT14" s="123"/>
      <c r="AU14" s="123"/>
      <c r="AV14" s="118" t="s">
        <v>203</v>
      </c>
      <c r="AW14" s="123"/>
      <c r="AX14" s="123"/>
    </row>
    <row r="15" spans="2:50" ht="18.75">
      <c r="B15" s="118">
        <v>11</v>
      </c>
      <c r="C15" s="118" t="s">
        <v>203</v>
      </c>
      <c r="D15" s="118" t="s">
        <v>203</v>
      </c>
      <c r="E15" s="118" t="s">
        <v>203</v>
      </c>
      <c r="F15" s="118" t="s">
        <v>203</v>
      </c>
      <c r="G15" s="123"/>
      <c r="H15" s="123"/>
      <c r="I15" s="118" t="s">
        <v>203</v>
      </c>
      <c r="J15" s="118" t="s">
        <v>203</v>
      </c>
      <c r="K15" s="118" t="s">
        <v>203</v>
      </c>
      <c r="L15" s="118" t="s">
        <v>205</v>
      </c>
      <c r="M15" s="118" t="s">
        <v>203</v>
      </c>
      <c r="N15" s="123"/>
      <c r="O15" s="123"/>
      <c r="P15" s="118" t="s">
        <v>203</v>
      </c>
      <c r="Q15" s="118" t="s">
        <v>203</v>
      </c>
      <c r="R15" s="118" t="s">
        <v>203</v>
      </c>
      <c r="S15" s="118" t="s">
        <v>203</v>
      </c>
      <c r="T15" s="123"/>
      <c r="U15" s="123"/>
      <c r="V15" s="123"/>
      <c r="W15" s="118" t="s">
        <v>203</v>
      </c>
      <c r="X15" s="118" t="s">
        <v>203</v>
      </c>
      <c r="Y15" s="123"/>
      <c r="Z15" s="118" t="s">
        <v>203</v>
      </c>
      <c r="AA15" s="118" t="s">
        <v>203</v>
      </c>
      <c r="AB15" s="123"/>
      <c r="AC15" s="123"/>
      <c r="AD15" s="118" t="s">
        <v>203</v>
      </c>
      <c r="AE15" s="118" t="s">
        <v>203</v>
      </c>
      <c r="AF15" s="118" t="s">
        <v>203</v>
      </c>
      <c r="AG15" s="118" t="s">
        <v>203</v>
      </c>
      <c r="AH15" s="118" t="s">
        <v>203</v>
      </c>
      <c r="AI15" s="123"/>
      <c r="AJ15" s="123"/>
      <c r="AK15" s="118" t="s">
        <v>203</v>
      </c>
      <c r="AL15" s="118" t="s">
        <v>203</v>
      </c>
      <c r="AM15" s="118" t="s">
        <v>203</v>
      </c>
      <c r="AN15" s="118" t="s">
        <v>203</v>
      </c>
      <c r="AO15" s="118" t="s">
        <v>203</v>
      </c>
      <c r="AP15" s="123"/>
      <c r="AQ15" s="123"/>
      <c r="AR15" s="118" t="s">
        <v>203</v>
      </c>
      <c r="AS15" s="118" t="s">
        <v>203</v>
      </c>
      <c r="AT15" s="123"/>
      <c r="AU15" s="123"/>
      <c r="AV15" s="118" t="s">
        <v>203</v>
      </c>
      <c r="AW15" s="123"/>
      <c r="AX15" s="123"/>
    </row>
    <row r="16" spans="2:50" ht="18.75">
      <c r="B16" s="118">
        <v>12</v>
      </c>
      <c r="C16" s="118" t="s">
        <v>203</v>
      </c>
      <c r="D16" s="118" t="s">
        <v>203</v>
      </c>
      <c r="E16" s="118" t="s">
        <v>203</v>
      </c>
      <c r="F16" s="118" t="s">
        <v>203</v>
      </c>
      <c r="G16" s="123"/>
      <c r="H16" s="123"/>
      <c r="I16" s="118" t="s">
        <v>203</v>
      </c>
      <c r="J16" s="118" t="s">
        <v>203</v>
      </c>
      <c r="K16" s="118" t="s">
        <v>203</v>
      </c>
      <c r="L16" s="118" t="s">
        <v>203</v>
      </c>
      <c r="M16" s="118" t="s">
        <v>203</v>
      </c>
      <c r="N16" s="123"/>
      <c r="O16" s="123"/>
      <c r="P16" s="118" t="s">
        <v>203</v>
      </c>
      <c r="Q16" s="118" t="s">
        <v>203</v>
      </c>
      <c r="R16" s="118" t="s">
        <v>203</v>
      </c>
      <c r="S16" s="118" t="s">
        <v>203</v>
      </c>
      <c r="T16" s="123"/>
      <c r="U16" s="123"/>
      <c r="V16" s="123"/>
      <c r="W16" s="118" t="s">
        <v>203</v>
      </c>
      <c r="X16" s="118" t="s">
        <v>203</v>
      </c>
      <c r="Y16" s="123"/>
      <c r="Z16" s="118" t="s">
        <v>203</v>
      </c>
      <c r="AA16" s="118" t="s">
        <v>203</v>
      </c>
      <c r="AB16" s="123"/>
      <c r="AC16" s="123"/>
      <c r="AD16" s="118" t="s">
        <v>203</v>
      </c>
      <c r="AE16" s="118" t="s">
        <v>203</v>
      </c>
      <c r="AF16" s="118" t="s">
        <v>203</v>
      </c>
      <c r="AG16" s="118" t="s">
        <v>203</v>
      </c>
      <c r="AH16" s="118" t="s">
        <v>203</v>
      </c>
      <c r="AI16" s="123"/>
      <c r="AJ16" s="123"/>
      <c r="AK16" s="118" t="s">
        <v>203</v>
      </c>
      <c r="AL16" s="118" t="s">
        <v>203</v>
      </c>
      <c r="AM16" s="118" t="s">
        <v>203</v>
      </c>
      <c r="AN16" s="118" t="s">
        <v>203</v>
      </c>
      <c r="AO16" s="118" t="s">
        <v>203</v>
      </c>
      <c r="AP16" s="123"/>
      <c r="AQ16" s="123"/>
      <c r="AR16" s="118" t="s">
        <v>203</v>
      </c>
      <c r="AS16" s="118" t="s">
        <v>203</v>
      </c>
      <c r="AT16" s="123"/>
      <c r="AU16" s="123"/>
      <c r="AV16" s="118" t="s">
        <v>203</v>
      </c>
      <c r="AW16" s="123"/>
      <c r="AX16" s="123"/>
    </row>
    <row r="17" spans="2:51" ht="18.75">
      <c r="B17" s="118">
        <v>13</v>
      </c>
      <c r="C17" s="118" t="s">
        <v>203</v>
      </c>
      <c r="D17" s="118" t="s">
        <v>203</v>
      </c>
      <c r="E17" s="118" t="s">
        <v>203</v>
      </c>
      <c r="F17" s="118" t="s">
        <v>203</v>
      </c>
      <c r="G17" s="123"/>
      <c r="H17" s="123"/>
      <c r="I17" s="118" t="s">
        <v>203</v>
      </c>
      <c r="J17" s="118" t="s">
        <v>203</v>
      </c>
      <c r="K17" s="118" t="s">
        <v>203</v>
      </c>
      <c r="L17" s="118" t="s">
        <v>203</v>
      </c>
      <c r="M17" s="118" t="s">
        <v>203</v>
      </c>
      <c r="N17" s="123"/>
      <c r="O17" s="123"/>
      <c r="P17" s="118" t="s">
        <v>203</v>
      </c>
      <c r="Q17" s="118" t="s">
        <v>203</v>
      </c>
      <c r="R17" s="118" t="s">
        <v>203</v>
      </c>
      <c r="S17" s="118" t="s">
        <v>203</v>
      </c>
      <c r="T17" s="123"/>
      <c r="U17" s="123"/>
      <c r="V17" s="123"/>
      <c r="W17" s="118" t="s">
        <v>203</v>
      </c>
      <c r="X17" s="118" t="s">
        <v>203</v>
      </c>
      <c r="Y17" s="123"/>
      <c r="Z17" s="118" t="s">
        <v>203</v>
      </c>
      <c r="AA17" s="118" t="s">
        <v>203</v>
      </c>
      <c r="AB17" s="123"/>
      <c r="AC17" s="123"/>
      <c r="AD17" s="118" t="s">
        <v>203</v>
      </c>
      <c r="AE17" s="118" t="s">
        <v>203</v>
      </c>
      <c r="AF17" s="118" t="s">
        <v>203</v>
      </c>
      <c r="AG17" s="118" t="s">
        <v>203</v>
      </c>
      <c r="AH17" s="118" t="s">
        <v>203</v>
      </c>
      <c r="AI17" s="123"/>
      <c r="AJ17" s="123"/>
      <c r="AK17" s="118" t="s">
        <v>203</v>
      </c>
      <c r="AL17" s="118" t="s">
        <v>203</v>
      </c>
      <c r="AM17" s="118" t="s">
        <v>203</v>
      </c>
      <c r="AN17" s="118" t="s">
        <v>203</v>
      </c>
      <c r="AO17" s="118" t="s">
        <v>203</v>
      </c>
      <c r="AP17" s="123"/>
      <c r="AQ17" s="123"/>
      <c r="AR17" s="118" t="s">
        <v>203</v>
      </c>
      <c r="AS17" s="118" t="s">
        <v>203</v>
      </c>
      <c r="AT17" s="123"/>
      <c r="AU17" s="123"/>
      <c r="AV17" s="118" t="s">
        <v>203</v>
      </c>
      <c r="AW17" s="123"/>
      <c r="AX17" s="123"/>
    </row>
    <row r="18" spans="2:51">
      <c r="C18" s="1">
        <v>13</v>
      </c>
    </row>
    <row r="19" spans="2:51" ht="21">
      <c r="L19" s="237" t="s">
        <v>61</v>
      </c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</row>
    <row r="20" spans="2:51"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  <c r="AD20" s="239"/>
      <c r="AE20" s="239"/>
      <c r="AF20" s="239"/>
      <c r="AG20" s="239"/>
      <c r="AH20" s="239"/>
      <c r="AI20" s="239"/>
      <c r="AJ20" s="239"/>
      <c r="AK20" s="239"/>
      <c r="AL20" s="239"/>
      <c r="AM20" s="239"/>
      <c r="AN20" s="239"/>
      <c r="AO20" s="239"/>
      <c r="AP20" s="239"/>
      <c r="AQ20" s="239"/>
      <c r="AR20" s="239"/>
      <c r="AS20" s="239"/>
      <c r="AT20" s="239"/>
      <c r="AU20" s="239"/>
      <c r="AV20" s="239"/>
      <c r="AW20" s="239"/>
      <c r="AX20" s="239"/>
      <c r="AY20" s="239"/>
    </row>
    <row r="21" spans="2:51" ht="21">
      <c r="D21" s="223" t="s">
        <v>234</v>
      </c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</row>
    <row r="22" spans="2:51" ht="21">
      <c r="F22" s="223" t="s">
        <v>235</v>
      </c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</row>
    <row r="23" spans="2:51" ht="21">
      <c r="F23" s="224" t="s">
        <v>236</v>
      </c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</row>
    <row r="24" spans="2:51" ht="21">
      <c r="F24" s="224" t="s">
        <v>237</v>
      </c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</row>
  </sheetData>
  <protectedRanges>
    <protectedRange sqref="G5:H17 N5:O17 T5:V17 Y5:Y17 AB5:AC17 AI5:AJ17 AP5:AQ17 AT5:AU17 AW5:AX17" name="ช่วง1"/>
    <protectedRange sqref="C4:AX4" name="ช่วง1_1"/>
    <protectedRange sqref="C2:AX2" name="ช่วง1_2_1_1_2"/>
    <protectedRange sqref="C3:AX3" name="ช่วง1_2_1_1_1_1"/>
  </protectedRanges>
  <mergeCells count="20">
    <mergeCell ref="F24:AV24"/>
    <mergeCell ref="L19:AD19"/>
    <mergeCell ref="E20:AY20"/>
    <mergeCell ref="D21:AL21"/>
    <mergeCell ref="F22:AK22"/>
    <mergeCell ref="F23:AR23"/>
    <mergeCell ref="AR1:AX1"/>
    <mergeCell ref="C2:H2"/>
    <mergeCell ref="I2:O2"/>
    <mergeCell ref="P2:V2"/>
    <mergeCell ref="W2:AC2"/>
    <mergeCell ref="AD2:AJ2"/>
    <mergeCell ref="AK2:AQ2"/>
    <mergeCell ref="AR2:AX2"/>
    <mergeCell ref="C1:H1"/>
    <mergeCell ref="I1:O1"/>
    <mergeCell ref="P1:V1"/>
    <mergeCell ref="W1:AC1"/>
    <mergeCell ref="AD1:AJ1"/>
    <mergeCell ref="AK1:AQ1"/>
  </mergeCells>
  <pageMargins left="0.51181102362204722" right="0" top="0.39370078740157483" bottom="0" header="0.31496062992125984" footer="0.31496062992125984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X21"/>
  <sheetViews>
    <sheetView view="pageBreakPreview" topLeftCell="A5" zoomScale="90" zoomScaleNormal="100" zoomScaleSheetLayoutView="90" workbookViewId="0">
      <selection activeCell="D18" sqref="D18"/>
    </sheetView>
  </sheetViews>
  <sheetFormatPr defaultColWidth="9" defaultRowHeight="15.75"/>
  <cols>
    <col min="1" max="1" width="1.42578125" style="1" customWidth="1"/>
    <col min="2" max="2" width="6.85546875" style="4" customWidth="1"/>
    <col min="3" max="10" width="1.7109375" style="1" customWidth="1"/>
    <col min="11" max="11" width="1.42578125" style="1" customWidth="1"/>
    <col min="12" max="12" width="2" style="1" customWidth="1"/>
    <col min="13" max="13" width="1.5703125" style="1" customWidth="1"/>
    <col min="14" max="22" width="1.7109375" style="1" customWidth="1"/>
    <col min="23" max="23" width="1.42578125" style="1" customWidth="1"/>
    <col min="24" max="24" width="1.7109375" style="1" customWidth="1"/>
    <col min="25" max="25" width="1.42578125" style="1" customWidth="1"/>
    <col min="26" max="26" width="1.7109375" style="1" customWidth="1"/>
    <col min="27" max="27" width="2" style="1" customWidth="1"/>
    <col min="28" max="32" width="1.7109375" style="1" customWidth="1"/>
    <col min="33" max="33" width="1.42578125" style="1" customWidth="1"/>
    <col min="34" max="36" width="1.7109375" style="1" customWidth="1"/>
    <col min="37" max="37" width="1.5703125" style="1" customWidth="1"/>
    <col min="38" max="39" width="1.7109375" style="1" customWidth="1"/>
    <col min="40" max="40" width="1.85546875" style="1" customWidth="1"/>
    <col min="41" max="41" width="2" style="1" customWidth="1"/>
    <col min="42" max="46" width="1.7109375" style="1" customWidth="1"/>
    <col min="47" max="47" width="1.42578125" style="1" customWidth="1"/>
    <col min="48" max="48" width="2" style="1" customWidth="1"/>
    <col min="49" max="50" width="1.7109375" style="1" customWidth="1"/>
    <col min="51" max="16384" width="9" style="1"/>
  </cols>
  <sheetData>
    <row r="1" spans="2:50" ht="21">
      <c r="B1" s="164" t="s">
        <v>167</v>
      </c>
      <c r="C1" s="208">
        <v>33</v>
      </c>
      <c r="D1" s="208"/>
      <c r="E1" s="208"/>
      <c r="F1" s="208"/>
      <c r="G1" s="208"/>
      <c r="H1" s="208"/>
      <c r="I1" s="208">
        <v>34</v>
      </c>
      <c r="J1" s="208"/>
      <c r="K1" s="208"/>
      <c r="L1" s="208"/>
      <c r="M1" s="208"/>
      <c r="N1" s="208"/>
      <c r="O1" s="208"/>
      <c r="P1" s="208">
        <v>35</v>
      </c>
      <c r="Q1" s="208"/>
      <c r="R1" s="208"/>
      <c r="S1" s="208"/>
      <c r="T1" s="208"/>
      <c r="U1" s="208"/>
      <c r="V1" s="208"/>
      <c r="W1" s="208">
        <v>36</v>
      </c>
      <c r="X1" s="208"/>
      <c r="Y1" s="208"/>
      <c r="Z1" s="208"/>
      <c r="AA1" s="208"/>
      <c r="AB1" s="208"/>
      <c r="AC1" s="208"/>
      <c r="AD1" s="208">
        <v>37</v>
      </c>
      <c r="AE1" s="208"/>
      <c r="AF1" s="208"/>
      <c r="AG1" s="208"/>
      <c r="AH1" s="208"/>
      <c r="AI1" s="208"/>
      <c r="AJ1" s="208"/>
      <c r="AK1" s="208">
        <v>38</v>
      </c>
      <c r="AL1" s="208"/>
      <c r="AM1" s="208"/>
      <c r="AN1" s="208"/>
      <c r="AO1" s="208"/>
      <c r="AP1" s="208"/>
      <c r="AQ1" s="208"/>
      <c r="AR1" s="208">
        <v>39</v>
      </c>
      <c r="AS1" s="208"/>
      <c r="AT1" s="208"/>
      <c r="AU1" s="208"/>
      <c r="AV1" s="208"/>
      <c r="AW1" s="208"/>
      <c r="AX1" s="208"/>
    </row>
    <row r="2" spans="2:50" ht="21.75" customHeight="1">
      <c r="B2" s="164" t="s">
        <v>53</v>
      </c>
      <c r="C2" s="222" t="s">
        <v>238</v>
      </c>
      <c r="D2" s="222"/>
      <c r="E2" s="222"/>
      <c r="F2" s="222"/>
      <c r="G2" s="222"/>
      <c r="H2" s="222"/>
      <c r="I2" s="222" t="s">
        <v>238</v>
      </c>
      <c r="J2" s="222"/>
      <c r="K2" s="222"/>
      <c r="L2" s="222"/>
      <c r="M2" s="222"/>
      <c r="N2" s="222"/>
      <c r="O2" s="222"/>
      <c r="P2" s="222" t="s">
        <v>238</v>
      </c>
      <c r="Q2" s="222"/>
      <c r="R2" s="222"/>
      <c r="S2" s="222"/>
      <c r="T2" s="222"/>
      <c r="U2" s="222"/>
      <c r="V2" s="222"/>
      <c r="W2" s="222" t="s">
        <v>238</v>
      </c>
      <c r="X2" s="222"/>
      <c r="Y2" s="222"/>
      <c r="Z2" s="222"/>
      <c r="AA2" s="222"/>
      <c r="AB2" s="222"/>
      <c r="AC2" s="222"/>
      <c r="AD2" s="222" t="s">
        <v>239</v>
      </c>
      <c r="AE2" s="222"/>
      <c r="AF2" s="222"/>
      <c r="AG2" s="222"/>
      <c r="AH2" s="222"/>
      <c r="AI2" s="222"/>
      <c r="AJ2" s="222"/>
      <c r="AK2" s="222" t="s">
        <v>239</v>
      </c>
      <c r="AL2" s="222"/>
      <c r="AM2" s="222"/>
      <c r="AN2" s="222"/>
      <c r="AO2" s="222"/>
      <c r="AP2" s="222"/>
      <c r="AQ2" s="222"/>
      <c r="AR2" s="222" t="s">
        <v>239</v>
      </c>
      <c r="AS2" s="222"/>
      <c r="AT2" s="222"/>
      <c r="AU2" s="222"/>
      <c r="AV2" s="222"/>
      <c r="AW2" s="222"/>
      <c r="AX2" s="222"/>
    </row>
    <row r="3" spans="2:50" ht="18.75">
      <c r="B3" s="164" t="s">
        <v>52</v>
      </c>
      <c r="C3" s="33" t="s">
        <v>191</v>
      </c>
      <c r="D3" s="33" t="s">
        <v>192</v>
      </c>
      <c r="E3" s="33" t="s">
        <v>193</v>
      </c>
      <c r="F3" s="66" t="s">
        <v>194</v>
      </c>
      <c r="G3" s="66" t="s">
        <v>217</v>
      </c>
      <c r="H3" s="68" t="s">
        <v>211</v>
      </c>
      <c r="I3" s="68" t="s">
        <v>212</v>
      </c>
      <c r="J3" s="33" t="s">
        <v>213</v>
      </c>
      <c r="K3" s="33" t="s">
        <v>214</v>
      </c>
      <c r="L3" s="66" t="s">
        <v>215</v>
      </c>
      <c r="M3" s="66" t="s">
        <v>216</v>
      </c>
      <c r="N3" s="66" t="s">
        <v>171</v>
      </c>
      <c r="O3" s="68" t="s">
        <v>172</v>
      </c>
      <c r="P3" s="68" t="s">
        <v>173</v>
      </c>
      <c r="Q3" s="66" t="s">
        <v>174</v>
      </c>
      <c r="R3" s="66" t="s">
        <v>175</v>
      </c>
      <c r="S3" s="66" t="s">
        <v>176</v>
      </c>
      <c r="T3" s="66" t="s">
        <v>177</v>
      </c>
      <c r="U3" s="66" t="s">
        <v>178</v>
      </c>
      <c r="V3" s="68" t="s">
        <v>179</v>
      </c>
      <c r="W3" s="68" t="s">
        <v>180</v>
      </c>
      <c r="X3" s="66" t="s">
        <v>181</v>
      </c>
      <c r="Y3" s="66" t="s">
        <v>182</v>
      </c>
      <c r="Z3" s="66" t="s">
        <v>183</v>
      </c>
      <c r="AA3" s="66" t="s">
        <v>184</v>
      </c>
      <c r="AB3" s="66" t="s">
        <v>185</v>
      </c>
      <c r="AC3" s="68" t="s">
        <v>186</v>
      </c>
      <c r="AD3" s="68" t="s">
        <v>187</v>
      </c>
      <c r="AE3" s="66" t="s">
        <v>188</v>
      </c>
      <c r="AF3" s="66" t="s">
        <v>189</v>
      </c>
      <c r="AG3" s="66" t="s">
        <v>190</v>
      </c>
      <c r="AH3" s="66" t="s">
        <v>191</v>
      </c>
      <c r="AI3" s="66" t="s">
        <v>192</v>
      </c>
      <c r="AJ3" s="68" t="s">
        <v>193</v>
      </c>
      <c r="AK3" s="68" t="s">
        <v>194</v>
      </c>
      <c r="AL3" s="66" t="s">
        <v>217</v>
      </c>
      <c r="AM3" s="66" t="s">
        <v>211</v>
      </c>
      <c r="AN3" s="66" t="s">
        <v>212</v>
      </c>
      <c r="AO3" s="66" t="s">
        <v>213</v>
      </c>
      <c r="AP3" s="66" t="s">
        <v>214</v>
      </c>
      <c r="AQ3" s="68" t="s">
        <v>215</v>
      </c>
      <c r="AR3" s="69" t="s">
        <v>216</v>
      </c>
      <c r="AS3" s="33" t="s">
        <v>171</v>
      </c>
      <c r="AT3" s="33" t="s">
        <v>172</v>
      </c>
      <c r="AU3" s="33" t="s">
        <v>173</v>
      </c>
      <c r="AV3" s="66" t="s">
        <v>174</v>
      </c>
      <c r="AW3" s="66" t="s">
        <v>175</v>
      </c>
      <c r="AX3" s="68" t="s">
        <v>176</v>
      </c>
    </row>
    <row r="4" spans="2:50" ht="18.75">
      <c r="B4" s="164" t="s">
        <v>195</v>
      </c>
      <c r="C4" s="21" t="s">
        <v>199</v>
      </c>
      <c r="D4" s="21" t="s">
        <v>200</v>
      </c>
      <c r="E4" s="21" t="s">
        <v>201</v>
      </c>
      <c r="F4" s="67" t="s">
        <v>202</v>
      </c>
      <c r="G4" s="67" t="s">
        <v>196</v>
      </c>
      <c r="H4" s="69" t="s">
        <v>197</v>
      </c>
      <c r="I4" s="69" t="s">
        <v>198</v>
      </c>
      <c r="J4" s="21" t="s">
        <v>199</v>
      </c>
      <c r="K4" s="21" t="s">
        <v>200</v>
      </c>
      <c r="L4" s="67" t="s">
        <v>201</v>
      </c>
      <c r="M4" s="67" t="s">
        <v>202</v>
      </c>
      <c r="N4" s="67" t="s">
        <v>196</v>
      </c>
      <c r="O4" s="69" t="s">
        <v>197</v>
      </c>
      <c r="P4" s="69" t="s">
        <v>198</v>
      </c>
      <c r="Q4" s="67" t="s">
        <v>199</v>
      </c>
      <c r="R4" s="67" t="s">
        <v>200</v>
      </c>
      <c r="S4" s="67" t="s">
        <v>201</v>
      </c>
      <c r="T4" s="67" t="s">
        <v>202</v>
      </c>
      <c r="U4" s="67" t="s">
        <v>196</v>
      </c>
      <c r="V4" s="69" t="s">
        <v>197</v>
      </c>
      <c r="W4" s="69" t="s">
        <v>198</v>
      </c>
      <c r="X4" s="67" t="s">
        <v>199</v>
      </c>
      <c r="Y4" s="67" t="s">
        <v>200</v>
      </c>
      <c r="Z4" s="67" t="s">
        <v>201</v>
      </c>
      <c r="AA4" s="67" t="s">
        <v>202</v>
      </c>
      <c r="AB4" s="67" t="s">
        <v>196</v>
      </c>
      <c r="AC4" s="69" t="s">
        <v>197</v>
      </c>
      <c r="AD4" s="69" t="s">
        <v>198</v>
      </c>
      <c r="AE4" s="67" t="s">
        <v>199</v>
      </c>
      <c r="AF4" s="67" t="s">
        <v>200</v>
      </c>
      <c r="AG4" s="67" t="s">
        <v>201</v>
      </c>
      <c r="AH4" s="67" t="s">
        <v>202</v>
      </c>
      <c r="AI4" s="67" t="s">
        <v>196</v>
      </c>
      <c r="AJ4" s="69" t="s">
        <v>197</v>
      </c>
      <c r="AK4" s="69" t="s">
        <v>198</v>
      </c>
      <c r="AL4" s="67" t="s">
        <v>199</v>
      </c>
      <c r="AM4" s="67" t="s">
        <v>200</v>
      </c>
      <c r="AN4" s="67" t="s">
        <v>201</v>
      </c>
      <c r="AO4" s="67" t="s">
        <v>202</v>
      </c>
      <c r="AP4" s="67" t="s">
        <v>196</v>
      </c>
      <c r="AQ4" s="69" t="s">
        <v>197</v>
      </c>
      <c r="AR4" s="69" t="s">
        <v>198</v>
      </c>
      <c r="AS4" s="67" t="s">
        <v>199</v>
      </c>
      <c r="AT4" s="67" t="s">
        <v>200</v>
      </c>
      <c r="AU4" s="67" t="s">
        <v>201</v>
      </c>
      <c r="AV4" s="67" t="s">
        <v>202</v>
      </c>
      <c r="AW4" s="67" t="s">
        <v>196</v>
      </c>
      <c r="AX4" s="69" t="s">
        <v>204</v>
      </c>
    </row>
    <row r="5" spans="2:50" ht="18.75">
      <c r="B5" s="118">
        <v>1</v>
      </c>
      <c r="C5" s="118" t="s">
        <v>203</v>
      </c>
      <c r="D5" s="118" t="s">
        <v>203</v>
      </c>
      <c r="E5" s="118" t="s">
        <v>203</v>
      </c>
      <c r="F5" s="118" t="s">
        <v>203</v>
      </c>
      <c r="G5" s="118" t="s">
        <v>203</v>
      </c>
      <c r="H5" s="123"/>
      <c r="I5" s="123"/>
      <c r="J5" s="118" t="s">
        <v>203</v>
      </c>
      <c r="K5" s="118" t="s">
        <v>203</v>
      </c>
      <c r="L5" s="118" t="s">
        <v>203</v>
      </c>
      <c r="M5" s="118" t="s">
        <v>203</v>
      </c>
      <c r="N5" s="118" t="s">
        <v>203</v>
      </c>
      <c r="O5" s="123"/>
      <c r="P5" s="123"/>
      <c r="Q5" s="118" t="s">
        <v>205</v>
      </c>
      <c r="R5" s="118" t="s">
        <v>203</v>
      </c>
      <c r="S5" s="118" t="s">
        <v>203</v>
      </c>
      <c r="T5" s="118" t="s">
        <v>203</v>
      </c>
      <c r="U5" s="118" t="s">
        <v>203</v>
      </c>
      <c r="V5" s="123"/>
      <c r="W5" s="123"/>
      <c r="X5" s="118" t="s">
        <v>203</v>
      </c>
      <c r="Y5" s="118" t="s">
        <v>203</v>
      </c>
      <c r="Z5" s="118" t="s">
        <v>203</v>
      </c>
      <c r="AA5" s="118" t="s">
        <v>203</v>
      </c>
      <c r="AB5" s="118" t="s">
        <v>203</v>
      </c>
      <c r="AC5" s="123"/>
      <c r="AD5" s="123"/>
      <c r="AE5" s="118" t="s">
        <v>203</v>
      </c>
      <c r="AF5" s="118" t="s">
        <v>203</v>
      </c>
      <c r="AG5" s="118" t="s">
        <v>203</v>
      </c>
      <c r="AH5" s="118" t="s">
        <v>203</v>
      </c>
      <c r="AI5" s="118" t="s">
        <v>203</v>
      </c>
      <c r="AJ5" s="123"/>
      <c r="AK5" s="123"/>
      <c r="AL5" s="118" t="s">
        <v>203</v>
      </c>
      <c r="AM5" s="118" t="s">
        <v>203</v>
      </c>
      <c r="AN5" s="118" t="s">
        <v>203</v>
      </c>
      <c r="AO5" s="118" t="s">
        <v>203</v>
      </c>
      <c r="AP5" s="118" t="s">
        <v>203</v>
      </c>
      <c r="AQ5" s="123"/>
      <c r="AR5" s="123"/>
      <c r="AS5" s="118" t="s">
        <v>203</v>
      </c>
      <c r="AT5" s="118" t="s">
        <v>203</v>
      </c>
      <c r="AU5" s="118" t="s">
        <v>203</v>
      </c>
      <c r="AV5" s="118" t="s">
        <v>203</v>
      </c>
      <c r="AW5" s="118" t="s">
        <v>203</v>
      </c>
      <c r="AX5" s="123"/>
    </row>
    <row r="6" spans="2:50" ht="18.75">
      <c r="B6" s="118">
        <v>2</v>
      </c>
      <c r="C6" s="118" t="s">
        <v>203</v>
      </c>
      <c r="D6" s="118" t="s">
        <v>203</v>
      </c>
      <c r="E6" s="118" t="s">
        <v>203</v>
      </c>
      <c r="F6" s="118" t="s">
        <v>203</v>
      </c>
      <c r="G6" s="118" t="s">
        <v>203</v>
      </c>
      <c r="H6" s="123"/>
      <c r="I6" s="123"/>
      <c r="J6" s="118" t="s">
        <v>203</v>
      </c>
      <c r="K6" s="118" t="s">
        <v>203</v>
      </c>
      <c r="L6" s="118" t="s">
        <v>203</v>
      </c>
      <c r="M6" s="118" t="s">
        <v>203</v>
      </c>
      <c r="N6" s="118" t="s">
        <v>203</v>
      </c>
      <c r="O6" s="123"/>
      <c r="P6" s="123"/>
      <c r="Q6" s="118" t="s">
        <v>203</v>
      </c>
      <c r="R6" s="118" t="s">
        <v>203</v>
      </c>
      <c r="S6" s="118" t="s">
        <v>203</v>
      </c>
      <c r="T6" s="118" t="s">
        <v>203</v>
      </c>
      <c r="U6" s="118" t="s">
        <v>203</v>
      </c>
      <c r="V6" s="123"/>
      <c r="W6" s="123"/>
      <c r="X6" s="118" t="s">
        <v>203</v>
      </c>
      <c r="Y6" s="118" t="s">
        <v>203</v>
      </c>
      <c r="Z6" s="118" t="s">
        <v>203</v>
      </c>
      <c r="AA6" s="118" t="s">
        <v>203</v>
      </c>
      <c r="AB6" s="118" t="s">
        <v>203</v>
      </c>
      <c r="AC6" s="123"/>
      <c r="AD6" s="123"/>
      <c r="AE6" s="118" t="s">
        <v>203</v>
      </c>
      <c r="AF6" s="118" t="s">
        <v>203</v>
      </c>
      <c r="AG6" s="118" t="s">
        <v>203</v>
      </c>
      <c r="AH6" s="118" t="s">
        <v>203</v>
      </c>
      <c r="AI6" s="118" t="s">
        <v>203</v>
      </c>
      <c r="AJ6" s="123"/>
      <c r="AK6" s="123"/>
      <c r="AL6" s="118" t="s">
        <v>203</v>
      </c>
      <c r="AM6" s="118" t="s">
        <v>203</v>
      </c>
      <c r="AN6" s="118" t="s">
        <v>203</v>
      </c>
      <c r="AO6" s="118" t="s">
        <v>203</v>
      </c>
      <c r="AP6" s="118" t="s">
        <v>203</v>
      </c>
      <c r="AQ6" s="123"/>
      <c r="AR6" s="123"/>
      <c r="AS6" s="118" t="s">
        <v>203</v>
      </c>
      <c r="AT6" s="118" t="s">
        <v>203</v>
      </c>
      <c r="AU6" s="118" t="s">
        <v>203</v>
      </c>
      <c r="AV6" s="118" t="s">
        <v>203</v>
      </c>
      <c r="AW6" s="118" t="s">
        <v>203</v>
      </c>
      <c r="AX6" s="123"/>
    </row>
    <row r="7" spans="2:50" ht="18.75">
      <c r="B7" s="118">
        <v>3</v>
      </c>
      <c r="C7" s="118" t="s">
        <v>203</v>
      </c>
      <c r="D7" s="118" t="s">
        <v>203</v>
      </c>
      <c r="E7" s="118" t="s">
        <v>203</v>
      </c>
      <c r="F7" s="118" t="s">
        <v>203</v>
      </c>
      <c r="G7" s="118" t="s">
        <v>203</v>
      </c>
      <c r="H7" s="123"/>
      <c r="I7" s="123"/>
      <c r="J7" s="118" t="s">
        <v>203</v>
      </c>
      <c r="K7" s="118" t="s">
        <v>203</v>
      </c>
      <c r="L7" s="118" t="s">
        <v>203</v>
      </c>
      <c r="M7" s="118" t="s">
        <v>203</v>
      </c>
      <c r="N7" s="118" t="s">
        <v>203</v>
      </c>
      <c r="O7" s="123"/>
      <c r="P7" s="123"/>
      <c r="Q7" s="118" t="s">
        <v>203</v>
      </c>
      <c r="R7" s="118" t="s">
        <v>203</v>
      </c>
      <c r="S7" s="118" t="s">
        <v>203</v>
      </c>
      <c r="T7" s="118" t="s">
        <v>203</v>
      </c>
      <c r="U7" s="118" t="s">
        <v>203</v>
      </c>
      <c r="V7" s="123"/>
      <c r="W7" s="123"/>
      <c r="X7" s="118" t="s">
        <v>203</v>
      </c>
      <c r="Y7" s="118" t="s">
        <v>203</v>
      </c>
      <c r="Z7" s="118" t="s">
        <v>203</v>
      </c>
      <c r="AA7" s="118" t="s">
        <v>203</v>
      </c>
      <c r="AB7" s="118" t="s">
        <v>203</v>
      </c>
      <c r="AC7" s="123"/>
      <c r="AD7" s="123"/>
      <c r="AE7" s="118" t="s">
        <v>203</v>
      </c>
      <c r="AF7" s="118" t="s">
        <v>203</v>
      </c>
      <c r="AG7" s="118" t="s">
        <v>203</v>
      </c>
      <c r="AH7" s="118" t="s">
        <v>203</v>
      </c>
      <c r="AI7" s="118" t="s">
        <v>203</v>
      </c>
      <c r="AJ7" s="123"/>
      <c r="AK7" s="123"/>
      <c r="AL7" s="118" t="s">
        <v>203</v>
      </c>
      <c r="AM7" s="118" t="s">
        <v>203</v>
      </c>
      <c r="AN7" s="118" t="s">
        <v>203</v>
      </c>
      <c r="AO7" s="118" t="s">
        <v>203</v>
      </c>
      <c r="AP7" s="118" t="s">
        <v>203</v>
      </c>
      <c r="AQ7" s="123"/>
      <c r="AR7" s="123"/>
      <c r="AS7" s="118" t="s">
        <v>203</v>
      </c>
      <c r="AT7" s="118" t="s">
        <v>203</v>
      </c>
      <c r="AU7" s="168" t="s">
        <v>205</v>
      </c>
      <c r="AV7" s="118" t="s">
        <v>203</v>
      </c>
      <c r="AW7" s="118" t="s">
        <v>203</v>
      </c>
      <c r="AX7" s="123"/>
    </row>
    <row r="8" spans="2:50" ht="18.75">
      <c r="B8" s="118">
        <v>4</v>
      </c>
      <c r="C8" s="118" t="s">
        <v>203</v>
      </c>
      <c r="D8" s="118" t="s">
        <v>203</v>
      </c>
      <c r="E8" s="118" t="s">
        <v>203</v>
      </c>
      <c r="F8" s="118" t="s">
        <v>203</v>
      </c>
      <c r="G8" s="118" t="s">
        <v>203</v>
      </c>
      <c r="H8" s="123"/>
      <c r="I8" s="123"/>
      <c r="J8" s="118" t="s">
        <v>203</v>
      </c>
      <c r="K8" s="118" t="s">
        <v>203</v>
      </c>
      <c r="L8" s="118" t="s">
        <v>203</v>
      </c>
      <c r="M8" s="118" t="s">
        <v>203</v>
      </c>
      <c r="N8" s="118" t="s">
        <v>203</v>
      </c>
      <c r="O8" s="123"/>
      <c r="P8" s="123"/>
      <c r="Q8" s="118" t="s">
        <v>203</v>
      </c>
      <c r="R8" s="118" t="s">
        <v>203</v>
      </c>
      <c r="S8" s="118" t="s">
        <v>203</v>
      </c>
      <c r="T8" s="118" t="s">
        <v>203</v>
      </c>
      <c r="U8" s="118" t="s">
        <v>203</v>
      </c>
      <c r="V8" s="123"/>
      <c r="W8" s="123"/>
      <c r="X8" s="118" t="s">
        <v>203</v>
      </c>
      <c r="Y8" s="118" t="s">
        <v>203</v>
      </c>
      <c r="Z8" s="118" t="s">
        <v>205</v>
      </c>
      <c r="AA8" s="118" t="s">
        <v>203</v>
      </c>
      <c r="AB8" s="118" t="s">
        <v>203</v>
      </c>
      <c r="AC8" s="123"/>
      <c r="AD8" s="123"/>
      <c r="AE8" s="118" t="s">
        <v>203</v>
      </c>
      <c r="AF8" s="118" t="s">
        <v>203</v>
      </c>
      <c r="AG8" s="118" t="s">
        <v>203</v>
      </c>
      <c r="AH8" s="118" t="s">
        <v>203</v>
      </c>
      <c r="AI8" s="118" t="s">
        <v>203</v>
      </c>
      <c r="AJ8" s="123"/>
      <c r="AK8" s="123"/>
      <c r="AL8" s="118" t="s">
        <v>203</v>
      </c>
      <c r="AM8" s="118" t="s">
        <v>203</v>
      </c>
      <c r="AN8" s="118" t="s">
        <v>203</v>
      </c>
      <c r="AO8" s="118" t="s">
        <v>203</v>
      </c>
      <c r="AP8" s="118" t="s">
        <v>203</v>
      </c>
      <c r="AQ8" s="123"/>
      <c r="AR8" s="123"/>
      <c r="AS8" s="118" t="s">
        <v>203</v>
      </c>
      <c r="AT8" s="118" t="s">
        <v>203</v>
      </c>
      <c r="AU8" s="118" t="s">
        <v>203</v>
      </c>
      <c r="AV8" s="118" t="s">
        <v>203</v>
      </c>
      <c r="AW8" s="118" t="s">
        <v>203</v>
      </c>
      <c r="AX8" s="123"/>
    </row>
    <row r="9" spans="2:50" ht="18.75">
      <c r="B9" s="118">
        <v>5</v>
      </c>
      <c r="C9" s="118" t="s">
        <v>203</v>
      </c>
      <c r="D9" s="118" t="s">
        <v>203</v>
      </c>
      <c r="E9" s="118" t="s">
        <v>203</v>
      </c>
      <c r="F9" s="118" t="s">
        <v>203</v>
      </c>
      <c r="G9" s="118" t="s">
        <v>203</v>
      </c>
      <c r="H9" s="123"/>
      <c r="I9" s="123"/>
      <c r="J9" s="118" t="s">
        <v>203</v>
      </c>
      <c r="K9" s="118" t="s">
        <v>203</v>
      </c>
      <c r="L9" s="118" t="s">
        <v>203</v>
      </c>
      <c r="M9" s="118" t="s">
        <v>203</v>
      </c>
      <c r="N9" s="118" t="s">
        <v>203</v>
      </c>
      <c r="O9" s="123"/>
      <c r="P9" s="123"/>
      <c r="Q9" s="118" t="s">
        <v>203</v>
      </c>
      <c r="R9" s="118" t="s">
        <v>203</v>
      </c>
      <c r="S9" s="118" t="s">
        <v>203</v>
      </c>
      <c r="T9" s="118" t="s">
        <v>203</v>
      </c>
      <c r="U9" s="118" t="s">
        <v>203</v>
      </c>
      <c r="V9" s="123"/>
      <c r="W9" s="123"/>
      <c r="X9" s="118" t="s">
        <v>203</v>
      </c>
      <c r="Y9" s="118" t="s">
        <v>203</v>
      </c>
      <c r="Z9" s="118" t="s">
        <v>203</v>
      </c>
      <c r="AA9" s="118" t="s">
        <v>203</v>
      </c>
      <c r="AB9" s="118" t="s">
        <v>203</v>
      </c>
      <c r="AC9" s="123"/>
      <c r="AD9" s="123"/>
      <c r="AE9" s="118" t="s">
        <v>203</v>
      </c>
      <c r="AF9" s="118" t="s">
        <v>203</v>
      </c>
      <c r="AG9" s="118" t="s">
        <v>203</v>
      </c>
      <c r="AH9" s="118" t="s">
        <v>203</v>
      </c>
      <c r="AI9" s="118" t="s">
        <v>203</v>
      </c>
      <c r="AJ9" s="123"/>
      <c r="AK9" s="123"/>
      <c r="AL9" s="118" t="s">
        <v>203</v>
      </c>
      <c r="AM9" s="118" t="s">
        <v>203</v>
      </c>
      <c r="AN9" s="118" t="s">
        <v>203</v>
      </c>
      <c r="AO9" s="118" t="s">
        <v>203</v>
      </c>
      <c r="AP9" s="118" t="s">
        <v>203</v>
      </c>
      <c r="AQ9" s="123"/>
      <c r="AR9" s="123"/>
      <c r="AS9" s="118" t="s">
        <v>203</v>
      </c>
      <c r="AT9" s="118" t="s">
        <v>203</v>
      </c>
      <c r="AU9" s="118" t="s">
        <v>203</v>
      </c>
      <c r="AV9" s="118" t="s">
        <v>203</v>
      </c>
      <c r="AW9" s="118" t="s">
        <v>203</v>
      </c>
      <c r="AX9" s="123"/>
    </row>
    <row r="10" spans="2:50" ht="18.75">
      <c r="B10" s="118">
        <v>6</v>
      </c>
      <c r="C10" s="118" t="s">
        <v>203</v>
      </c>
      <c r="D10" s="118" t="s">
        <v>203</v>
      </c>
      <c r="E10" s="118" t="s">
        <v>203</v>
      </c>
      <c r="F10" s="118" t="s">
        <v>203</v>
      </c>
      <c r="G10" s="118" t="s">
        <v>203</v>
      </c>
      <c r="H10" s="123"/>
      <c r="I10" s="123"/>
      <c r="J10" s="118" t="s">
        <v>203</v>
      </c>
      <c r="K10" s="118" t="s">
        <v>203</v>
      </c>
      <c r="L10" s="118" t="s">
        <v>203</v>
      </c>
      <c r="M10" s="118" t="s">
        <v>203</v>
      </c>
      <c r="N10" s="118" t="s">
        <v>203</v>
      </c>
      <c r="O10" s="123"/>
      <c r="P10" s="123"/>
      <c r="Q10" s="118" t="s">
        <v>203</v>
      </c>
      <c r="R10" s="118" t="s">
        <v>203</v>
      </c>
      <c r="S10" s="118" t="s">
        <v>203</v>
      </c>
      <c r="T10" s="118" t="s">
        <v>203</v>
      </c>
      <c r="U10" s="118" t="s">
        <v>203</v>
      </c>
      <c r="V10" s="123"/>
      <c r="W10" s="123"/>
      <c r="X10" s="118" t="s">
        <v>203</v>
      </c>
      <c r="Y10" s="118" t="s">
        <v>203</v>
      </c>
      <c r="Z10" s="118" t="s">
        <v>203</v>
      </c>
      <c r="AA10" s="118" t="s">
        <v>203</v>
      </c>
      <c r="AB10" s="118" t="s">
        <v>203</v>
      </c>
      <c r="AC10" s="123"/>
      <c r="AD10" s="123"/>
      <c r="AE10" s="118" t="s">
        <v>203</v>
      </c>
      <c r="AF10" s="118" t="s">
        <v>203</v>
      </c>
      <c r="AG10" s="118" t="s">
        <v>203</v>
      </c>
      <c r="AH10" s="118" t="s">
        <v>203</v>
      </c>
      <c r="AI10" s="118" t="s">
        <v>203</v>
      </c>
      <c r="AJ10" s="123"/>
      <c r="AK10" s="123"/>
      <c r="AL10" s="118" t="s">
        <v>203</v>
      </c>
      <c r="AM10" s="118" t="s">
        <v>203</v>
      </c>
      <c r="AN10" s="118" t="s">
        <v>203</v>
      </c>
      <c r="AO10" s="118" t="s">
        <v>203</v>
      </c>
      <c r="AP10" s="118" t="s">
        <v>203</v>
      </c>
      <c r="AQ10" s="123"/>
      <c r="AR10" s="123"/>
      <c r="AS10" s="118" t="s">
        <v>203</v>
      </c>
      <c r="AT10" s="118" t="s">
        <v>203</v>
      </c>
      <c r="AU10" s="118" t="s">
        <v>203</v>
      </c>
      <c r="AV10" s="118" t="s">
        <v>203</v>
      </c>
      <c r="AW10" s="118" t="s">
        <v>203</v>
      </c>
      <c r="AX10" s="123"/>
    </row>
    <row r="11" spans="2:50" ht="18.75">
      <c r="B11" s="118">
        <v>7</v>
      </c>
      <c r="C11" s="118" t="s">
        <v>204</v>
      </c>
      <c r="D11" s="118" t="s">
        <v>203</v>
      </c>
      <c r="E11" s="118" t="s">
        <v>203</v>
      </c>
      <c r="F11" s="118" t="s">
        <v>203</v>
      </c>
      <c r="G11" s="118" t="s">
        <v>203</v>
      </c>
      <c r="H11" s="123"/>
      <c r="I11" s="123"/>
      <c r="J11" s="118" t="s">
        <v>203</v>
      </c>
      <c r="K11" s="118" t="s">
        <v>203</v>
      </c>
      <c r="L11" s="118" t="s">
        <v>203</v>
      </c>
      <c r="M11" s="118" t="s">
        <v>203</v>
      </c>
      <c r="N11" s="118" t="s">
        <v>203</v>
      </c>
      <c r="O11" s="123"/>
      <c r="P11" s="123"/>
      <c r="Q11" s="118" t="s">
        <v>203</v>
      </c>
      <c r="R11" s="118" t="s">
        <v>203</v>
      </c>
      <c r="S11" s="118" t="s">
        <v>203</v>
      </c>
      <c r="T11" s="118" t="s">
        <v>203</v>
      </c>
      <c r="U11" s="118" t="s">
        <v>203</v>
      </c>
      <c r="V11" s="123"/>
      <c r="W11" s="123"/>
      <c r="X11" s="118" t="s">
        <v>203</v>
      </c>
      <c r="Y11" s="118" t="s">
        <v>203</v>
      </c>
      <c r="Z11" s="118" t="s">
        <v>203</v>
      </c>
      <c r="AA11" s="118" t="s">
        <v>203</v>
      </c>
      <c r="AB11" s="118" t="s">
        <v>203</v>
      </c>
      <c r="AC11" s="123"/>
      <c r="AD11" s="123"/>
      <c r="AE11" s="118" t="s">
        <v>203</v>
      </c>
      <c r="AF11" s="118" t="s">
        <v>203</v>
      </c>
      <c r="AG11" s="118" t="s">
        <v>203</v>
      </c>
      <c r="AH11" s="118" t="s">
        <v>203</v>
      </c>
      <c r="AI11" s="118" t="s">
        <v>203</v>
      </c>
      <c r="AJ11" s="123"/>
      <c r="AK11" s="123"/>
      <c r="AL11" s="118" t="s">
        <v>203</v>
      </c>
      <c r="AM11" s="118" t="s">
        <v>203</v>
      </c>
      <c r="AN11" s="118" t="s">
        <v>203</v>
      </c>
      <c r="AO11" s="118" t="s">
        <v>203</v>
      </c>
      <c r="AP11" s="118" t="s">
        <v>203</v>
      </c>
      <c r="AQ11" s="123"/>
      <c r="AR11" s="123"/>
      <c r="AS11" s="118" t="s">
        <v>203</v>
      </c>
      <c r="AT11" s="118" t="s">
        <v>203</v>
      </c>
      <c r="AU11" s="118" t="s">
        <v>203</v>
      </c>
      <c r="AV11" s="118" t="s">
        <v>203</v>
      </c>
      <c r="AW11" s="118" t="s">
        <v>203</v>
      </c>
      <c r="AX11" s="123"/>
    </row>
    <row r="12" spans="2:50" ht="18.75">
      <c r="B12" s="118">
        <v>8</v>
      </c>
      <c r="C12" s="118" t="s">
        <v>203</v>
      </c>
      <c r="D12" s="118" t="s">
        <v>203</v>
      </c>
      <c r="E12" s="118" t="s">
        <v>203</v>
      </c>
      <c r="F12" s="118" t="s">
        <v>203</v>
      </c>
      <c r="G12" s="118" t="s">
        <v>203</v>
      </c>
      <c r="H12" s="123"/>
      <c r="I12" s="123"/>
      <c r="J12" s="118" t="s">
        <v>203</v>
      </c>
      <c r="K12" s="118" t="s">
        <v>203</v>
      </c>
      <c r="L12" s="118" t="s">
        <v>203</v>
      </c>
      <c r="M12" s="118" t="s">
        <v>203</v>
      </c>
      <c r="N12" s="118" t="s">
        <v>203</v>
      </c>
      <c r="O12" s="123"/>
      <c r="P12" s="123"/>
      <c r="Q12" s="118" t="s">
        <v>203</v>
      </c>
      <c r="R12" s="118" t="s">
        <v>203</v>
      </c>
      <c r="S12" s="118" t="s">
        <v>203</v>
      </c>
      <c r="T12" s="118" t="s">
        <v>203</v>
      </c>
      <c r="U12" s="118" t="s">
        <v>203</v>
      </c>
      <c r="V12" s="123"/>
      <c r="W12" s="123"/>
      <c r="X12" s="118" t="s">
        <v>203</v>
      </c>
      <c r="Y12" s="118" t="s">
        <v>203</v>
      </c>
      <c r="Z12" s="118" t="s">
        <v>203</v>
      </c>
      <c r="AA12" s="118" t="s">
        <v>203</v>
      </c>
      <c r="AB12" s="118" t="s">
        <v>203</v>
      </c>
      <c r="AC12" s="123"/>
      <c r="AD12" s="123"/>
      <c r="AE12" s="118" t="s">
        <v>203</v>
      </c>
      <c r="AF12" s="118" t="s">
        <v>203</v>
      </c>
      <c r="AG12" s="118" t="s">
        <v>203</v>
      </c>
      <c r="AH12" s="118" t="s">
        <v>203</v>
      </c>
      <c r="AI12" s="118" t="s">
        <v>203</v>
      </c>
      <c r="AJ12" s="123"/>
      <c r="AK12" s="123"/>
      <c r="AL12" s="118" t="s">
        <v>203</v>
      </c>
      <c r="AM12" s="118" t="s">
        <v>203</v>
      </c>
      <c r="AN12" s="118" t="s">
        <v>203</v>
      </c>
      <c r="AO12" s="118" t="s">
        <v>203</v>
      </c>
      <c r="AP12" s="118" t="s">
        <v>203</v>
      </c>
      <c r="AQ12" s="123"/>
      <c r="AR12" s="123"/>
      <c r="AS12" s="118" t="s">
        <v>203</v>
      </c>
      <c r="AT12" s="118" t="s">
        <v>203</v>
      </c>
      <c r="AU12" s="118" t="s">
        <v>203</v>
      </c>
      <c r="AV12" s="118" t="s">
        <v>203</v>
      </c>
      <c r="AW12" s="118" t="s">
        <v>203</v>
      </c>
      <c r="AX12" s="123"/>
    </row>
    <row r="13" spans="2:50" ht="18.75">
      <c r="B13" s="118">
        <v>9</v>
      </c>
      <c r="C13" s="118" t="s">
        <v>203</v>
      </c>
      <c r="D13" s="118" t="s">
        <v>203</v>
      </c>
      <c r="E13" s="118" t="s">
        <v>203</v>
      </c>
      <c r="F13" s="118" t="s">
        <v>203</v>
      </c>
      <c r="G13" s="118" t="s">
        <v>203</v>
      </c>
      <c r="H13" s="123"/>
      <c r="I13" s="123"/>
      <c r="J13" s="118" t="s">
        <v>203</v>
      </c>
      <c r="K13" s="118" t="s">
        <v>203</v>
      </c>
      <c r="L13" s="118" t="s">
        <v>203</v>
      </c>
      <c r="M13" s="118" t="s">
        <v>203</v>
      </c>
      <c r="N13" s="118" t="s">
        <v>203</v>
      </c>
      <c r="O13" s="123"/>
      <c r="P13" s="123"/>
      <c r="Q13" s="118" t="s">
        <v>203</v>
      </c>
      <c r="R13" s="118" t="s">
        <v>203</v>
      </c>
      <c r="S13" s="118" t="s">
        <v>203</v>
      </c>
      <c r="T13" s="118" t="s">
        <v>203</v>
      </c>
      <c r="U13" s="118" t="s">
        <v>203</v>
      </c>
      <c r="V13" s="123"/>
      <c r="W13" s="123"/>
      <c r="X13" s="118" t="s">
        <v>203</v>
      </c>
      <c r="Y13" s="118" t="s">
        <v>203</v>
      </c>
      <c r="Z13" s="118" t="s">
        <v>203</v>
      </c>
      <c r="AA13" s="118" t="s">
        <v>203</v>
      </c>
      <c r="AB13" s="118" t="s">
        <v>203</v>
      </c>
      <c r="AC13" s="123"/>
      <c r="AD13" s="123"/>
      <c r="AE13" s="118" t="s">
        <v>203</v>
      </c>
      <c r="AF13" s="118" t="s">
        <v>203</v>
      </c>
      <c r="AG13" s="118" t="s">
        <v>203</v>
      </c>
      <c r="AH13" s="118" t="s">
        <v>203</v>
      </c>
      <c r="AI13" s="118" t="s">
        <v>203</v>
      </c>
      <c r="AJ13" s="123"/>
      <c r="AK13" s="123"/>
      <c r="AL13" s="118" t="s">
        <v>203</v>
      </c>
      <c r="AM13" s="118" t="s">
        <v>203</v>
      </c>
      <c r="AN13" s="118" t="s">
        <v>203</v>
      </c>
      <c r="AO13" s="118" t="s">
        <v>203</v>
      </c>
      <c r="AP13" s="118" t="s">
        <v>203</v>
      </c>
      <c r="AQ13" s="123"/>
      <c r="AR13" s="123"/>
      <c r="AS13" s="118" t="s">
        <v>203</v>
      </c>
      <c r="AT13" s="118" t="s">
        <v>203</v>
      </c>
      <c r="AU13" s="118" t="s">
        <v>203</v>
      </c>
      <c r="AV13" s="118" t="s">
        <v>203</v>
      </c>
      <c r="AW13" s="118" t="s">
        <v>203</v>
      </c>
      <c r="AX13" s="123"/>
    </row>
    <row r="14" spans="2:50" ht="18.75">
      <c r="B14" s="118">
        <v>10</v>
      </c>
      <c r="C14" s="118" t="s">
        <v>203</v>
      </c>
      <c r="D14" s="118" t="s">
        <v>203</v>
      </c>
      <c r="E14" s="118" t="s">
        <v>203</v>
      </c>
      <c r="F14" s="118" t="s">
        <v>203</v>
      </c>
      <c r="G14" s="118" t="s">
        <v>203</v>
      </c>
      <c r="H14" s="123"/>
      <c r="I14" s="123"/>
      <c r="J14" s="118" t="s">
        <v>203</v>
      </c>
      <c r="K14" s="118" t="s">
        <v>203</v>
      </c>
      <c r="L14" s="118" t="s">
        <v>203</v>
      </c>
      <c r="M14" s="118" t="s">
        <v>203</v>
      </c>
      <c r="N14" s="118" t="s">
        <v>203</v>
      </c>
      <c r="O14" s="123"/>
      <c r="P14" s="123"/>
      <c r="Q14" s="118" t="s">
        <v>203</v>
      </c>
      <c r="R14" s="118" t="s">
        <v>203</v>
      </c>
      <c r="S14" s="118" t="s">
        <v>203</v>
      </c>
      <c r="T14" s="118" t="s">
        <v>203</v>
      </c>
      <c r="U14" s="118" t="s">
        <v>203</v>
      </c>
      <c r="V14" s="123"/>
      <c r="W14" s="123"/>
      <c r="X14" s="118" t="s">
        <v>203</v>
      </c>
      <c r="Y14" s="118" t="s">
        <v>203</v>
      </c>
      <c r="Z14" s="118" t="s">
        <v>203</v>
      </c>
      <c r="AA14" s="118" t="s">
        <v>203</v>
      </c>
      <c r="AB14" s="118" t="s">
        <v>203</v>
      </c>
      <c r="AC14" s="123"/>
      <c r="AD14" s="123"/>
      <c r="AE14" s="118" t="s">
        <v>203</v>
      </c>
      <c r="AF14" s="118" t="s">
        <v>203</v>
      </c>
      <c r="AG14" s="118" t="s">
        <v>203</v>
      </c>
      <c r="AH14" s="118" t="s">
        <v>203</v>
      </c>
      <c r="AI14" s="118" t="s">
        <v>203</v>
      </c>
      <c r="AJ14" s="123"/>
      <c r="AK14" s="123"/>
      <c r="AL14" s="118" t="s">
        <v>203</v>
      </c>
      <c r="AM14" s="118" t="s">
        <v>203</v>
      </c>
      <c r="AN14" s="118" t="s">
        <v>203</v>
      </c>
      <c r="AO14" s="118" t="s">
        <v>203</v>
      </c>
      <c r="AP14" s="118" t="s">
        <v>203</v>
      </c>
      <c r="AQ14" s="123"/>
      <c r="AR14" s="123"/>
      <c r="AS14" s="118" t="s">
        <v>203</v>
      </c>
      <c r="AT14" s="118" t="s">
        <v>203</v>
      </c>
      <c r="AU14" s="118" t="s">
        <v>203</v>
      </c>
      <c r="AV14" s="118" t="s">
        <v>203</v>
      </c>
      <c r="AW14" s="118" t="s">
        <v>203</v>
      </c>
      <c r="AX14" s="123"/>
    </row>
    <row r="15" spans="2:50" ht="18.75">
      <c r="B15" s="118">
        <v>11</v>
      </c>
      <c r="C15" s="118" t="s">
        <v>203</v>
      </c>
      <c r="D15" s="118" t="s">
        <v>203</v>
      </c>
      <c r="E15" s="118" t="s">
        <v>203</v>
      </c>
      <c r="F15" s="118" t="s">
        <v>203</v>
      </c>
      <c r="G15" s="118" t="s">
        <v>203</v>
      </c>
      <c r="H15" s="123"/>
      <c r="I15" s="123"/>
      <c r="J15" s="118" t="s">
        <v>203</v>
      </c>
      <c r="K15" s="118" t="s">
        <v>203</v>
      </c>
      <c r="L15" s="118" t="s">
        <v>203</v>
      </c>
      <c r="M15" s="118" t="s">
        <v>203</v>
      </c>
      <c r="N15" s="118" t="s">
        <v>203</v>
      </c>
      <c r="O15" s="123"/>
      <c r="P15" s="123"/>
      <c r="Q15" s="118" t="s">
        <v>203</v>
      </c>
      <c r="R15" s="118" t="s">
        <v>203</v>
      </c>
      <c r="S15" s="118" t="s">
        <v>203</v>
      </c>
      <c r="T15" s="118" t="s">
        <v>203</v>
      </c>
      <c r="U15" s="118" t="s">
        <v>203</v>
      </c>
      <c r="V15" s="123"/>
      <c r="W15" s="123"/>
      <c r="X15" s="118" t="s">
        <v>203</v>
      </c>
      <c r="Y15" s="118" t="s">
        <v>203</v>
      </c>
      <c r="Z15" s="118" t="s">
        <v>203</v>
      </c>
      <c r="AA15" s="118" t="s">
        <v>203</v>
      </c>
      <c r="AB15" s="118" t="s">
        <v>203</v>
      </c>
      <c r="AC15" s="123"/>
      <c r="AD15" s="123"/>
      <c r="AE15" s="118" t="s">
        <v>203</v>
      </c>
      <c r="AF15" s="118" t="s">
        <v>203</v>
      </c>
      <c r="AG15" s="118" t="s">
        <v>203</v>
      </c>
      <c r="AH15" s="118" t="s">
        <v>203</v>
      </c>
      <c r="AI15" s="118" t="s">
        <v>203</v>
      </c>
      <c r="AJ15" s="123"/>
      <c r="AK15" s="123"/>
      <c r="AL15" s="118" t="s">
        <v>203</v>
      </c>
      <c r="AM15" s="118" t="s">
        <v>203</v>
      </c>
      <c r="AN15" s="118" t="s">
        <v>203</v>
      </c>
      <c r="AO15" s="118" t="s">
        <v>203</v>
      </c>
      <c r="AP15" s="118" t="s">
        <v>203</v>
      </c>
      <c r="AQ15" s="123"/>
      <c r="AR15" s="123"/>
      <c r="AS15" s="118" t="s">
        <v>203</v>
      </c>
      <c r="AT15" s="118" t="s">
        <v>203</v>
      </c>
      <c r="AU15" s="118" t="s">
        <v>203</v>
      </c>
      <c r="AV15" s="118" t="s">
        <v>203</v>
      </c>
      <c r="AW15" s="118" t="s">
        <v>203</v>
      </c>
      <c r="AX15" s="123"/>
    </row>
    <row r="16" spans="2:50" ht="18.75">
      <c r="B16" s="118">
        <v>12</v>
      </c>
      <c r="C16" s="118" t="s">
        <v>203</v>
      </c>
      <c r="D16" s="118" t="s">
        <v>203</v>
      </c>
      <c r="E16" s="118" t="s">
        <v>203</v>
      </c>
      <c r="F16" s="118" t="s">
        <v>203</v>
      </c>
      <c r="G16" s="118" t="s">
        <v>203</v>
      </c>
      <c r="H16" s="123"/>
      <c r="I16" s="123"/>
      <c r="J16" s="118" t="s">
        <v>203</v>
      </c>
      <c r="K16" s="118" t="s">
        <v>203</v>
      </c>
      <c r="L16" s="118" t="s">
        <v>203</v>
      </c>
      <c r="M16" s="118" t="s">
        <v>203</v>
      </c>
      <c r="N16" s="118" t="s">
        <v>203</v>
      </c>
      <c r="O16" s="123"/>
      <c r="P16" s="123"/>
      <c r="Q16" s="118" t="s">
        <v>203</v>
      </c>
      <c r="R16" s="118" t="s">
        <v>203</v>
      </c>
      <c r="S16" s="118" t="s">
        <v>203</v>
      </c>
      <c r="T16" s="118" t="s">
        <v>203</v>
      </c>
      <c r="U16" s="118" t="s">
        <v>203</v>
      </c>
      <c r="V16" s="123"/>
      <c r="W16" s="123"/>
      <c r="X16" s="118" t="s">
        <v>203</v>
      </c>
      <c r="Y16" s="118" t="s">
        <v>203</v>
      </c>
      <c r="Z16" s="118" t="s">
        <v>203</v>
      </c>
      <c r="AA16" s="118" t="s">
        <v>203</v>
      </c>
      <c r="AB16" s="118" t="s">
        <v>203</v>
      </c>
      <c r="AC16" s="123"/>
      <c r="AD16" s="123"/>
      <c r="AE16" s="118" t="s">
        <v>203</v>
      </c>
      <c r="AF16" s="118" t="s">
        <v>203</v>
      </c>
      <c r="AG16" s="118" t="s">
        <v>203</v>
      </c>
      <c r="AH16" s="118" t="s">
        <v>203</v>
      </c>
      <c r="AI16" s="118" t="s">
        <v>203</v>
      </c>
      <c r="AJ16" s="123"/>
      <c r="AK16" s="123"/>
      <c r="AL16" s="118" t="s">
        <v>203</v>
      </c>
      <c r="AM16" s="118" t="s">
        <v>203</v>
      </c>
      <c r="AN16" s="118" t="s">
        <v>203</v>
      </c>
      <c r="AO16" s="118" t="s">
        <v>203</v>
      </c>
      <c r="AP16" s="118" t="s">
        <v>203</v>
      </c>
      <c r="AQ16" s="123"/>
      <c r="AR16" s="123"/>
      <c r="AS16" s="118" t="s">
        <v>203</v>
      </c>
      <c r="AT16" s="118" t="s">
        <v>203</v>
      </c>
      <c r="AU16" s="118" t="s">
        <v>203</v>
      </c>
      <c r="AV16" s="118" t="s">
        <v>203</v>
      </c>
      <c r="AW16" s="118" t="s">
        <v>203</v>
      </c>
      <c r="AX16" s="123"/>
    </row>
    <row r="17" spans="2:50" ht="18.75">
      <c r="B17" s="118">
        <v>13</v>
      </c>
      <c r="C17" s="118" t="s">
        <v>203</v>
      </c>
      <c r="D17" s="118" t="s">
        <v>203</v>
      </c>
      <c r="E17" s="118" t="s">
        <v>203</v>
      </c>
      <c r="F17" s="118" t="s">
        <v>203</v>
      </c>
      <c r="G17" s="118" t="s">
        <v>203</v>
      </c>
      <c r="H17" s="123"/>
      <c r="I17" s="123"/>
      <c r="J17" s="118" t="s">
        <v>203</v>
      </c>
      <c r="K17" s="118" t="s">
        <v>203</v>
      </c>
      <c r="L17" s="118" t="s">
        <v>203</v>
      </c>
      <c r="M17" s="118" t="s">
        <v>203</v>
      </c>
      <c r="N17" s="118" t="s">
        <v>203</v>
      </c>
      <c r="O17" s="123"/>
      <c r="P17" s="123"/>
      <c r="Q17" s="118" t="s">
        <v>203</v>
      </c>
      <c r="R17" s="118" t="s">
        <v>203</v>
      </c>
      <c r="S17" s="118" t="s">
        <v>203</v>
      </c>
      <c r="T17" s="118" t="s">
        <v>203</v>
      </c>
      <c r="U17" s="118" t="s">
        <v>203</v>
      </c>
      <c r="V17" s="123"/>
      <c r="W17" s="123"/>
      <c r="X17" s="118" t="s">
        <v>203</v>
      </c>
      <c r="Y17" s="118" t="s">
        <v>203</v>
      </c>
      <c r="Z17" s="118" t="s">
        <v>203</v>
      </c>
      <c r="AA17" s="118" t="s">
        <v>203</v>
      </c>
      <c r="AB17" s="118" t="s">
        <v>203</v>
      </c>
      <c r="AC17" s="123"/>
      <c r="AD17" s="123"/>
      <c r="AE17" s="118" t="s">
        <v>203</v>
      </c>
      <c r="AF17" s="118" t="s">
        <v>203</v>
      </c>
      <c r="AG17" s="118" t="s">
        <v>203</v>
      </c>
      <c r="AH17" s="118" t="s">
        <v>203</v>
      </c>
      <c r="AI17" s="118" t="s">
        <v>203</v>
      </c>
      <c r="AJ17" s="123"/>
      <c r="AK17" s="123"/>
      <c r="AL17" s="118" t="s">
        <v>203</v>
      </c>
      <c r="AM17" s="118" t="s">
        <v>203</v>
      </c>
      <c r="AN17" s="118" t="s">
        <v>203</v>
      </c>
      <c r="AO17" s="118" t="s">
        <v>203</v>
      </c>
      <c r="AP17" s="118" t="s">
        <v>203</v>
      </c>
      <c r="AQ17" s="123"/>
      <c r="AR17" s="123"/>
      <c r="AS17" s="118" t="s">
        <v>203</v>
      </c>
      <c r="AT17" s="118" t="s">
        <v>203</v>
      </c>
      <c r="AU17" s="118" t="s">
        <v>203</v>
      </c>
      <c r="AV17" s="118" t="s">
        <v>203</v>
      </c>
      <c r="AW17" s="118" t="s">
        <v>203</v>
      </c>
      <c r="AX17" s="123"/>
    </row>
    <row r="18" spans="2:50">
      <c r="C18" s="1">
        <v>13</v>
      </c>
    </row>
    <row r="19" spans="2:50" ht="21">
      <c r="D19" s="23" t="s">
        <v>61</v>
      </c>
    </row>
    <row r="20" spans="2:50" ht="21">
      <c r="D20" s="224" t="s">
        <v>240</v>
      </c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6"/>
      <c r="AC20" s="236"/>
      <c r="AD20" s="236"/>
    </row>
    <row r="21" spans="2:50" ht="21">
      <c r="D21" s="224" t="s">
        <v>241</v>
      </c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</row>
  </sheetData>
  <protectedRanges>
    <protectedRange sqref="H5:I17 O5:P17 V5:W17 AC5:AD17 AJ5:AK17 AQ5:AR17 AX5:AX17" name="ช่วง1"/>
    <protectedRange sqref="C4:AX4" name="ช่วง1_1"/>
    <protectedRange sqref="C2:AX2" name="ช่วง1_2_1_1_2"/>
    <protectedRange sqref="C3:AX3" name="ช่วง1_2_1_1_1_1"/>
  </protectedRanges>
  <mergeCells count="16">
    <mergeCell ref="D21:Z21"/>
    <mergeCell ref="AK2:AQ2"/>
    <mergeCell ref="AR2:AX2"/>
    <mergeCell ref="C1:H1"/>
    <mergeCell ref="I1:O1"/>
    <mergeCell ref="D20:AD20"/>
    <mergeCell ref="C2:H2"/>
    <mergeCell ref="I2:O2"/>
    <mergeCell ref="P2:V2"/>
    <mergeCell ref="W2:AC2"/>
    <mergeCell ref="AD2:AJ2"/>
    <mergeCell ref="P1:V1"/>
    <mergeCell ref="W1:AC1"/>
    <mergeCell ref="AD1:AJ1"/>
    <mergeCell ref="AK1:AQ1"/>
    <mergeCell ref="AR1:AX1"/>
  </mergeCells>
  <pageMargins left="0.51181102362204722" right="0" top="0.39370078740157483" bottom="0" header="0.31496062992125984" footer="0.31496062992125984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N18"/>
  <sheetViews>
    <sheetView view="pageBreakPreview" topLeftCell="A8" zoomScale="90" zoomScaleNormal="100" zoomScaleSheetLayoutView="90" workbookViewId="0">
      <selection activeCell="D18" sqref="D18"/>
    </sheetView>
  </sheetViews>
  <sheetFormatPr defaultColWidth="9" defaultRowHeight="15.75"/>
  <cols>
    <col min="1" max="1" width="1.42578125" style="1" customWidth="1"/>
    <col min="2" max="2" width="6.85546875" style="4" customWidth="1"/>
    <col min="3" max="36" width="1.7109375" style="1" customWidth="1"/>
    <col min="37" max="37" width="3.7109375" style="4" customWidth="1"/>
    <col min="38" max="38" width="3.7109375" style="3" customWidth="1"/>
    <col min="39" max="39" width="4" style="1" customWidth="1"/>
    <col min="40" max="40" width="7.42578125" style="1" customWidth="1"/>
    <col min="41" max="16384" width="9" style="1"/>
  </cols>
  <sheetData>
    <row r="1" spans="2:40" ht="21">
      <c r="B1" s="127" t="s">
        <v>167</v>
      </c>
      <c r="C1" s="208">
        <v>40</v>
      </c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40" t="s">
        <v>242</v>
      </c>
      <c r="AL1" s="240"/>
      <c r="AM1" s="240"/>
      <c r="AN1" s="240"/>
    </row>
    <row r="2" spans="2:40" ht="21.75" customHeight="1">
      <c r="B2" s="127" t="s">
        <v>53</v>
      </c>
      <c r="C2" s="222" t="s">
        <v>239</v>
      </c>
      <c r="D2" s="222"/>
      <c r="E2" s="222"/>
      <c r="F2" s="222"/>
      <c r="G2" s="222"/>
      <c r="H2" s="222"/>
      <c r="I2" s="222"/>
      <c r="J2" s="222" t="s">
        <v>243</v>
      </c>
      <c r="K2" s="222"/>
      <c r="L2" s="222"/>
      <c r="M2" s="222"/>
      <c r="N2" s="222"/>
      <c r="O2" s="222"/>
      <c r="P2" s="222"/>
      <c r="Q2" s="222" t="s">
        <v>243</v>
      </c>
      <c r="R2" s="222"/>
      <c r="S2" s="222"/>
      <c r="T2" s="222"/>
      <c r="U2" s="222"/>
      <c r="V2" s="222"/>
      <c r="W2" s="222"/>
      <c r="X2" s="222" t="s">
        <v>243</v>
      </c>
      <c r="Y2" s="222"/>
      <c r="Z2" s="222"/>
      <c r="AA2" s="222"/>
      <c r="AB2" s="222"/>
      <c r="AC2" s="222"/>
      <c r="AD2" s="222"/>
      <c r="AE2" s="222" t="s">
        <v>243</v>
      </c>
      <c r="AF2" s="222"/>
      <c r="AG2" s="222"/>
      <c r="AH2" s="222"/>
      <c r="AI2" s="222"/>
      <c r="AJ2" s="222"/>
      <c r="AK2" s="242" t="s">
        <v>244</v>
      </c>
      <c r="AL2" s="225" t="s">
        <v>245</v>
      </c>
      <c r="AM2" s="241" t="s">
        <v>246</v>
      </c>
      <c r="AN2" s="241" t="s">
        <v>34</v>
      </c>
    </row>
    <row r="3" spans="2:40" ht="18.75">
      <c r="B3" s="127" t="s">
        <v>52</v>
      </c>
      <c r="C3" s="69" t="s">
        <v>177</v>
      </c>
      <c r="D3" s="33" t="s">
        <v>178</v>
      </c>
      <c r="E3" s="33" t="s">
        <v>179</v>
      </c>
      <c r="F3" s="33" t="s">
        <v>180</v>
      </c>
      <c r="G3" s="33" t="s">
        <v>181</v>
      </c>
      <c r="H3" s="66" t="s">
        <v>182</v>
      </c>
      <c r="I3" s="68" t="s">
        <v>183</v>
      </c>
      <c r="J3" s="68" t="s">
        <v>187</v>
      </c>
      <c r="K3" s="66" t="s">
        <v>188</v>
      </c>
      <c r="L3" s="66" t="s">
        <v>189</v>
      </c>
      <c r="M3" s="66" t="s">
        <v>190</v>
      </c>
      <c r="N3" s="33" t="s">
        <v>191</v>
      </c>
      <c r="O3" s="66" t="s">
        <v>192</v>
      </c>
      <c r="P3" s="68" t="s">
        <v>193</v>
      </c>
      <c r="Q3" s="68" t="s">
        <v>194</v>
      </c>
      <c r="R3" s="66" t="s">
        <v>217</v>
      </c>
      <c r="S3" s="66" t="s">
        <v>211</v>
      </c>
      <c r="T3" s="66" t="s">
        <v>212</v>
      </c>
      <c r="U3" s="66" t="s">
        <v>213</v>
      </c>
      <c r="V3" s="66" t="s">
        <v>214</v>
      </c>
      <c r="W3" s="68" t="s">
        <v>215</v>
      </c>
      <c r="X3" s="68" t="s">
        <v>216</v>
      </c>
      <c r="Y3" s="66" t="s">
        <v>171</v>
      </c>
      <c r="Z3" s="66" t="s">
        <v>172</v>
      </c>
      <c r="AA3" s="66" t="s">
        <v>173</v>
      </c>
      <c r="AB3" s="66" t="s">
        <v>174</v>
      </c>
      <c r="AC3" s="66" t="s">
        <v>175</v>
      </c>
      <c r="AD3" s="68" t="s">
        <v>176</v>
      </c>
      <c r="AE3" s="68" t="s">
        <v>177</v>
      </c>
      <c r="AF3" s="66" t="s">
        <v>178</v>
      </c>
      <c r="AG3" s="66" t="s">
        <v>179</v>
      </c>
      <c r="AH3" s="66" t="s">
        <v>180</v>
      </c>
      <c r="AI3" s="66" t="s">
        <v>181</v>
      </c>
      <c r="AJ3" s="66" t="s">
        <v>182</v>
      </c>
      <c r="AK3" s="242"/>
      <c r="AL3" s="225"/>
      <c r="AM3" s="241"/>
      <c r="AN3" s="241"/>
    </row>
    <row r="4" spans="2:40" ht="19.5" thickBot="1">
      <c r="B4" s="128" t="s">
        <v>195</v>
      </c>
      <c r="C4" s="69" t="s">
        <v>198</v>
      </c>
      <c r="D4" s="21" t="s">
        <v>199</v>
      </c>
      <c r="E4" s="21" t="s">
        <v>200</v>
      </c>
      <c r="F4" s="21" t="s">
        <v>201</v>
      </c>
      <c r="G4" s="21" t="s">
        <v>202</v>
      </c>
      <c r="H4" s="67" t="s">
        <v>196</v>
      </c>
      <c r="I4" s="69" t="s">
        <v>197</v>
      </c>
      <c r="J4" s="69" t="s">
        <v>198</v>
      </c>
      <c r="K4" s="67" t="s">
        <v>199</v>
      </c>
      <c r="L4" s="67" t="s">
        <v>200</v>
      </c>
      <c r="M4" s="67" t="s">
        <v>201</v>
      </c>
      <c r="N4" s="21" t="s">
        <v>202</v>
      </c>
      <c r="O4" s="67" t="s">
        <v>196</v>
      </c>
      <c r="P4" s="69" t="s">
        <v>197</v>
      </c>
      <c r="Q4" s="69" t="s">
        <v>198</v>
      </c>
      <c r="R4" s="67" t="s">
        <v>199</v>
      </c>
      <c r="S4" s="67" t="s">
        <v>200</v>
      </c>
      <c r="T4" s="67" t="s">
        <v>201</v>
      </c>
      <c r="U4" s="67" t="s">
        <v>202</v>
      </c>
      <c r="V4" s="67" t="s">
        <v>196</v>
      </c>
      <c r="W4" s="69" t="s">
        <v>197</v>
      </c>
      <c r="X4" s="69" t="s">
        <v>198</v>
      </c>
      <c r="Y4" s="67" t="s">
        <v>199</v>
      </c>
      <c r="Z4" s="67" t="s">
        <v>200</v>
      </c>
      <c r="AA4" s="67" t="s">
        <v>201</v>
      </c>
      <c r="AB4" s="67" t="s">
        <v>202</v>
      </c>
      <c r="AC4" s="67" t="s">
        <v>196</v>
      </c>
      <c r="AD4" s="69" t="s">
        <v>197</v>
      </c>
      <c r="AE4" s="69" t="s">
        <v>198</v>
      </c>
      <c r="AF4" s="67" t="s">
        <v>199</v>
      </c>
      <c r="AG4" s="67" t="s">
        <v>200</v>
      </c>
      <c r="AH4" s="67" t="s">
        <v>201</v>
      </c>
      <c r="AI4" s="67" t="s">
        <v>202</v>
      </c>
      <c r="AJ4" s="67" t="s">
        <v>196</v>
      </c>
      <c r="AK4" s="242"/>
      <c r="AL4" s="225"/>
      <c r="AM4" s="241"/>
      <c r="AN4" s="241"/>
    </row>
    <row r="5" spans="2:40" ht="18.75">
      <c r="B5" s="5">
        <v>1</v>
      </c>
      <c r="C5" s="142"/>
      <c r="D5" s="118" t="s">
        <v>203</v>
      </c>
      <c r="E5" s="118" t="s">
        <v>203</v>
      </c>
      <c r="F5" s="118" t="s">
        <v>203</v>
      </c>
      <c r="G5" s="118" t="s">
        <v>203</v>
      </c>
      <c r="H5" s="118" t="s">
        <v>203</v>
      </c>
      <c r="I5" s="123"/>
      <c r="J5" s="123"/>
      <c r="K5" s="118" t="s">
        <v>203</v>
      </c>
      <c r="L5" s="118" t="s">
        <v>203</v>
      </c>
      <c r="M5" s="118" t="s">
        <v>203</v>
      </c>
      <c r="N5" s="118" t="s">
        <v>203</v>
      </c>
      <c r="O5" s="118" t="s">
        <v>203</v>
      </c>
      <c r="P5" s="123"/>
      <c r="Q5" s="123"/>
      <c r="R5" s="118" t="s">
        <v>203</v>
      </c>
      <c r="S5" s="118" t="s">
        <v>203</v>
      </c>
      <c r="T5" s="118" t="s">
        <v>203</v>
      </c>
      <c r="U5" s="118" t="s">
        <v>203</v>
      </c>
      <c r="V5" s="118" t="s">
        <v>203</v>
      </c>
      <c r="W5" s="123"/>
      <c r="X5" s="123"/>
      <c r="Y5" s="118" t="s">
        <v>203</v>
      </c>
      <c r="Z5" s="118" t="s">
        <v>203</v>
      </c>
      <c r="AA5" s="118" t="s">
        <v>203</v>
      </c>
      <c r="AB5" s="118" t="s">
        <v>203</v>
      </c>
      <c r="AC5" s="118" t="s">
        <v>203</v>
      </c>
      <c r="AD5" s="123"/>
      <c r="AE5" s="123"/>
      <c r="AF5" s="118" t="s">
        <v>203</v>
      </c>
      <c r="AG5" s="118" t="s">
        <v>203</v>
      </c>
      <c r="AH5" s="118" t="s">
        <v>203</v>
      </c>
      <c r="AI5" s="118" t="s">
        <v>203</v>
      </c>
      <c r="AJ5" s="118" t="s">
        <v>203</v>
      </c>
      <c r="AK5" s="118" t="str" cm="1">
        <f t="array" ref="AK5">_xlfn.LET(_xlpm.TotalCount, COUNTIF(D5:AJ5, "ล") + COUNTIF('เวลา 6'!C5:AX5, "ล") + COUNTIF('เวลา 5'!C5:AX5, "ล") + COUNTIF('เวลา 4'!C5:AR5, "ล") + COUNTIF(เวลา3!C5:AY5, "ล") + COUNTIF(เวลา2!C5:AZ5, "ล") + COUNTIF(เวลา1!G5:AD5, "ล"), IF(_xlpm.TotalCount=0, "-", _xlpm.TotalCount))</f>
        <v>-</v>
      </c>
      <c r="AL5" s="118" cm="1">
        <f t="array" ref="AL5">_xlfn.LET(_xlpm.TotalCount, COUNTIF(D5:AJ5, "ข") + COUNTIF('เวลา 6'!C5:AX5, "ข") + COUNTIF('เวลา 5'!C5:AX5, "ข") + COUNTIF('เวลา 4'!C5:AR5, "ข") + COUNTIF(เวลา3!C5:AY5, "ข") + COUNTIF(เวลา2!C5:AZ5, "ข") + COUNTIF(เวลา1!G5:AD5, "ข"), IF(_xlpm.TotalCount=0, "-", _xlpm.TotalCount))</f>
        <v>2</v>
      </c>
      <c r="AM5" s="129" cm="1">
        <f t="array" ref="AM5">_xlfn.LET(_xlpm.TotalCount, COUNTIF(D5:AJ5, "/") + COUNTIF('เวลา 6'!C5:AX5, "/") + COUNTIF('เวลา 5'!C5:AX5, "/") + COUNTIF('เวลา 4'!C5:AR5, "/") + COUNTIF(เวลา3!C5:AY5, "/") + COUNTIF(เวลา2!C5:AZ5, "/") + COUNTIF(เวลา1!G5:AD5, "/"), IF(_xlpm.TotalCount=0, "-", _xlpm.TotalCount))</f>
        <v>198</v>
      </c>
      <c r="AN5" s="129">
        <f>(AM5/SUM(AK5:AM5))*100</f>
        <v>99</v>
      </c>
    </row>
    <row r="6" spans="2:40" ht="18.75">
      <c r="B6" s="5">
        <v>2</v>
      </c>
      <c r="C6" s="142"/>
      <c r="D6" s="118" t="s">
        <v>203</v>
      </c>
      <c r="E6" s="118" t="s">
        <v>203</v>
      </c>
      <c r="F6" s="118" t="s">
        <v>203</v>
      </c>
      <c r="G6" s="118" t="s">
        <v>203</v>
      </c>
      <c r="H6" s="118" t="s">
        <v>203</v>
      </c>
      <c r="I6" s="123"/>
      <c r="J6" s="123"/>
      <c r="K6" s="118" t="s">
        <v>203</v>
      </c>
      <c r="L6" s="118" t="s">
        <v>203</v>
      </c>
      <c r="M6" s="118" t="s">
        <v>203</v>
      </c>
      <c r="N6" s="118" t="s">
        <v>203</v>
      </c>
      <c r="O6" s="118" t="s">
        <v>203</v>
      </c>
      <c r="P6" s="123"/>
      <c r="Q6" s="123"/>
      <c r="R6" s="118" t="s">
        <v>203</v>
      </c>
      <c r="S6" s="118" t="s">
        <v>203</v>
      </c>
      <c r="T6" s="118" t="s">
        <v>203</v>
      </c>
      <c r="U6" s="118" t="s">
        <v>203</v>
      </c>
      <c r="V6" s="118" t="s">
        <v>203</v>
      </c>
      <c r="W6" s="123"/>
      <c r="X6" s="123"/>
      <c r="Y6" s="118" t="s">
        <v>203</v>
      </c>
      <c r="Z6" s="118" t="s">
        <v>203</v>
      </c>
      <c r="AA6" s="118" t="s">
        <v>203</v>
      </c>
      <c r="AB6" s="118" t="s">
        <v>203</v>
      </c>
      <c r="AC6" s="118" t="s">
        <v>203</v>
      </c>
      <c r="AD6" s="123"/>
      <c r="AE6" s="123"/>
      <c r="AF6" s="118" t="s">
        <v>203</v>
      </c>
      <c r="AG6" s="118" t="s">
        <v>203</v>
      </c>
      <c r="AH6" s="118" t="s">
        <v>203</v>
      </c>
      <c r="AI6" s="118" t="s">
        <v>203</v>
      </c>
      <c r="AJ6" s="118" t="s">
        <v>203</v>
      </c>
      <c r="AK6" s="118" t="str" cm="1">
        <f t="array" ref="AK6">_xlfn.LET(_xlpm.TotalCount, COUNTIF(D6:AJ6, "ล") + COUNTIF('เวลา 6'!C6:AX6, "ล") + COUNTIF('เวลา 5'!C6:AX6, "ล") + COUNTIF('เวลา 4'!C6:AR6, "ล") + COUNTIF(เวลา3!C6:AY6, "ล") + COUNTIF(เวลา2!C6:AZ6, "ล") + COUNTIF(เวลา1!G6:AD6, "ล"), IF(_xlpm.TotalCount=0, "-", _xlpm.TotalCount))</f>
        <v>-</v>
      </c>
      <c r="AL6" s="118" cm="1">
        <f t="array" ref="AL6">_xlfn.LET(_xlpm.TotalCount, COUNTIF(D6:AJ6, "ข") + COUNTIF('เวลา 6'!C6:AX6, "ข") + COUNTIF('เวลา 5'!C6:AX6, "ข") + COUNTIF('เวลา 4'!C6:AR6, "ข") + COUNTIF(เวลา3!C6:AY6, "ข") + COUNTIF(เวลา2!C6:AZ6, "ข") + COUNTIF(เวลา1!G6:AD6, "ข"), IF(_xlpm.TotalCount=0, "-", _xlpm.TotalCount))</f>
        <v>2</v>
      </c>
      <c r="AM6" s="129" cm="1">
        <f t="array" ref="AM6">_xlfn.LET(_xlpm.TotalCount, COUNTIF(D6:AJ6, "/") + COUNTIF('เวลา 6'!C6:AX6, "/") + COUNTIF('เวลา 5'!C6:AX6, "/") + COUNTIF('เวลา 4'!C6:AR6, "/") + COUNTIF(เวลา3!C6:AY6, "/") + COUNTIF(เวลา2!C6:AZ6, "/") + COUNTIF(เวลา1!G6:AD6, "/"), IF(_xlpm.TotalCount=0, "-", _xlpm.TotalCount))</f>
        <v>198</v>
      </c>
      <c r="AN6" s="129">
        <f t="shared" ref="AN6:AN16" si="0">(AM6/SUM(AK6:AM6))*100</f>
        <v>99</v>
      </c>
    </row>
    <row r="7" spans="2:40" ht="18.75">
      <c r="B7" s="5">
        <v>3</v>
      </c>
      <c r="C7" s="142"/>
      <c r="D7" s="118" t="s">
        <v>203</v>
      </c>
      <c r="E7" s="118" t="s">
        <v>203</v>
      </c>
      <c r="F7" s="118" t="s">
        <v>203</v>
      </c>
      <c r="G7" s="118" t="s">
        <v>203</v>
      </c>
      <c r="H7" s="118" t="s">
        <v>203</v>
      </c>
      <c r="I7" s="123"/>
      <c r="J7" s="123"/>
      <c r="K7" s="118" t="s">
        <v>203</v>
      </c>
      <c r="L7" s="118" t="s">
        <v>203</v>
      </c>
      <c r="M7" s="118" t="s">
        <v>203</v>
      </c>
      <c r="N7" s="118" t="s">
        <v>203</v>
      </c>
      <c r="O7" s="118" t="s">
        <v>203</v>
      </c>
      <c r="P7" s="123"/>
      <c r="Q7" s="123"/>
      <c r="R7" s="118" t="s">
        <v>203</v>
      </c>
      <c r="S7" s="118" t="s">
        <v>203</v>
      </c>
      <c r="T7" s="118" t="s">
        <v>203</v>
      </c>
      <c r="U7" s="118" t="s">
        <v>203</v>
      </c>
      <c r="V7" s="118" t="s">
        <v>203</v>
      </c>
      <c r="W7" s="123"/>
      <c r="X7" s="123"/>
      <c r="Y7" s="118" t="s">
        <v>203</v>
      </c>
      <c r="Z7" s="118" t="s">
        <v>203</v>
      </c>
      <c r="AA7" s="118" t="s">
        <v>203</v>
      </c>
      <c r="AB7" s="118" t="s">
        <v>203</v>
      </c>
      <c r="AC7" s="118" t="s">
        <v>203</v>
      </c>
      <c r="AD7" s="123"/>
      <c r="AE7" s="123"/>
      <c r="AF7" s="118" t="s">
        <v>203</v>
      </c>
      <c r="AG7" s="118" t="s">
        <v>203</v>
      </c>
      <c r="AH7" s="118" t="s">
        <v>203</v>
      </c>
      <c r="AI7" s="118" t="s">
        <v>203</v>
      </c>
      <c r="AJ7" s="118" t="s">
        <v>203</v>
      </c>
      <c r="AK7" s="118" cm="1">
        <f t="array" ref="AK7">_xlfn.LET(_xlpm.TotalCount, COUNTIF(D7:AJ7, "ล") + COUNTIF('เวลา 6'!C7:AX7, "ล") + COUNTIF('เวลา 5'!C7:AX7, "ล") + COUNTIF('เวลา 4'!C7:AR7, "ล") + COUNTIF(เวลา3!C7:AY7, "ล") + COUNTIF(เวลา2!C7:AZ7, "ล") + COUNTIF(เวลา1!G7:AD7, "ล"), IF(_xlpm.TotalCount=0, "-", _xlpm.TotalCount))</f>
        <v>1</v>
      </c>
      <c r="AL7" s="118" cm="1">
        <f t="array" ref="AL7">_xlfn.LET(_xlpm.TotalCount, COUNTIF(D7:AJ7, "ข") + COUNTIF('เวลา 6'!C7:AX7, "ข") + COUNTIF('เวลา 5'!C7:AX7, "ข") + COUNTIF('เวลา 4'!C7:AR7, "ข") + COUNTIF(เวลา3!C7:AY7, "ข") + COUNTIF(เวลา2!C7:AZ7, "ข") + COUNTIF(เวลา1!G7:AD7, "ข"), IF(_xlpm.TotalCount=0, "-", _xlpm.TotalCount))</f>
        <v>3</v>
      </c>
      <c r="AM7" s="129" cm="1">
        <f t="array" ref="AM7">_xlfn.LET(_xlpm.TotalCount, COUNTIF(D7:AJ7, "/") + COUNTIF('เวลา 6'!C7:AX7, "/") + COUNTIF('เวลา 5'!C7:AX7, "/") + COUNTIF('เวลา 4'!C7:AR7, "/") + COUNTIF(เวลา3!C7:AY7, "/") + COUNTIF(เวลา2!C7:AZ7, "/") + COUNTIF(เวลา1!G7:AD7, "/"), IF(_xlpm.TotalCount=0, "-", _xlpm.TotalCount))</f>
        <v>196</v>
      </c>
      <c r="AN7" s="129">
        <f t="shared" si="0"/>
        <v>98</v>
      </c>
    </row>
    <row r="8" spans="2:40" ht="18.75">
      <c r="B8" s="5">
        <v>4</v>
      </c>
      <c r="C8" s="142"/>
      <c r="D8" s="118" t="s">
        <v>203</v>
      </c>
      <c r="E8" s="118" t="s">
        <v>203</v>
      </c>
      <c r="F8" s="118" t="s">
        <v>203</v>
      </c>
      <c r="G8" s="118" t="s">
        <v>203</v>
      </c>
      <c r="H8" s="118" t="s">
        <v>203</v>
      </c>
      <c r="I8" s="123"/>
      <c r="J8" s="123"/>
      <c r="K8" s="118" t="s">
        <v>203</v>
      </c>
      <c r="L8" s="118" t="s">
        <v>203</v>
      </c>
      <c r="M8" s="118" t="s">
        <v>203</v>
      </c>
      <c r="N8" s="118" t="s">
        <v>203</v>
      </c>
      <c r="O8" s="118" t="s">
        <v>203</v>
      </c>
      <c r="P8" s="123"/>
      <c r="Q8" s="123"/>
      <c r="R8" s="118" t="s">
        <v>203</v>
      </c>
      <c r="S8" s="118" t="s">
        <v>203</v>
      </c>
      <c r="T8" s="118" t="s">
        <v>203</v>
      </c>
      <c r="U8" s="118" t="s">
        <v>203</v>
      </c>
      <c r="V8" s="118" t="s">
        <v>203</v>
      </c>
      <c r="W8" s="123"/>
      <c r="X8" s="123"/>
      <c r="Y8" s="118" t="s">
        <v>203</v>
      </c>
      <c r="Z8" s="118" t="s">
        <v>203</v>
      </c>
      <c r="AA8" s="118" t="s">
        <v>203</v>
      </c>
      <c r="AB8" s="118" t="s">
        <v>203</v>
      </c>
      <c r="AC8" s="118" t="s">
        <v>203</v>
      </c>
      <c r="AD8" s="123"/>
      <c r="AE8" s="123"/>
      <c r="AF8" s="118" t="s">
        <v>203</v>
      </c>
      <c r="AG8" s="118" t="s">
        <v>203</v>
      </c>
      <c r="AH8" s="118" t="s">
        <v>203</v>
      </c>
      <c r="AI8" s="118" t="s">
        <v>203</v>
      </c>
      <c r="AJ8" s="118" t="s">
        <v>203</v>
      </c>
      <c r="AK8" s="118" t="str" cm="1">
        <f t="array" ref="AK8">_xlfn.LET(_xlpm.TotalCount, COUNTIF(D8:AJ8, "ล") + COUNTIF('เวลา 6'!C8:AX8, "ล") + COUNTIF('เวลา 5'!C8:AX8, "ล") + COUNTIF('เวลา 4'!C8:AR8, "ล") + COUNTIF(เวลา3!C8:AY8, "ล") + COUNTIF(เวลา2!C8:AZ8, "ล") + COUNTIF(เวลา1!G8:AD8, "ล"), IF(_xlpm.TotalCount=0, "-", _xlpm.TotalCount))</f>
        <v>-</v>
      </c>
      <c r="AL8" s="118" cm="1">
        <f t="array" ref="AL8">_xlfn.LET(_xlpm.TotalCount, COUNTIF(D8:AJ8, "ข") + COUNTIF('เวลา 6'!C8:AX8, "ข") + COUNTIF('เวลา 5'!C8:AX8, "ข") + COUNTIF('เวลา 4'!C8:AR8, "ข") + COUNTIF(เวลา3!C8:AY8, "ข") + COUNTIF(เวลา2!C8:AZ8, "ข") + COUNTIF(เวลา1!G8:AD8, "ข"), IF(_xlpm.TotalCount=0, "-", _xlpm.TotalCount))</f>
        <v>3</v>
      </c>
      <c r="AM8" s="129" cm="1">
        <f t="array" ref="AM8">_xlfn.LET(_xlpm.TotalCount, COUNTIF(D8:AJ8, "/") + COUNTIF('เวลา 6'!C8:AX8, "/") + COUNTIF('เวลา 5'!C8:AX8, "/") + COUNTIF('เวลา 4'!C8:AR8, "/") + COUNTIF(เวลา3!C8:AY8, "/") + COUNTIF(เวลา2!C8:AZ8, "/") + COUNTIF(เวลา1!G8:AD8, "/"), IF(_xlpm.TotalCount=0, "-", _xlpm.TotalCount))</f>
        <v>197</v>
      </c>
      <c r="AN8" s="129">
        <f t="shared" si="0"/>
        <v>98.5</v>
      </c>
    </row>
    <row r="9" spans="2:40" ht="18.75">
      <c r="B9" s="5">
        <v>5</v>
      </c>
      <c r="C9" s="142"/>
      <c r="D9" s="118" t="s">
        <v>203</v>
      </c>
      <c r="E9" s="118" t="s">
        <v>203</v>
      </c>
      <c r="F9" s="118" t="s">
        <v>203</v>
      </c>
      <c r="G9" s="118" t="s">
        <v>203</v>
      </c>
      <c r="H9" s="118" t="s">
        <v>203</v>
      </c>
      <c r="I9" s="123"/>
      <c r="J9" s="123"/>
      <c r="K9" s="118" t="s">
        <v>203</v>
      </c>
      <c r="L9" s="118" t="s">
        <v>203</v>
      </c>
      <c r="M9" s="118" t="s">
        <v>203</v>
      </c>
      <c r="N9" s="118" t="s">
        <v>203</v>
      </c>
      <c r="O9" s="118" t="s">
        <v>203</v>
      </c>
      <c r="P9" s="123"/>
      <c r="Q9" s="123"/>
      <c r="R9" s="118" t="s">
        <v>203</v>
      </c>
      <c r="S9" s="118" t="s">
        <v>203</v>
      </c>
      <c r="T9" s="118" t="s">
        <v>203</v>
      </c>
      <c r="U9" s="118" t="s">
        <v>203</v>
      </c>
      <c r="V9" s="118" t="s">
        <v>203</v>
      </c>
      <c r="W9" s="123"/>
      <c r="X9" s="123"/>
      <c r="Y9" s="118" t="s">
        <v>203</v>
      </c>
      <c r="Z9" s="118" t="s">
        <v>203</v>
      </c>
      <c r="AA9" s="118" t="s">
        <v>203</v>
      </c>
      <c r="AB9" s="118" t="s">
        <v>203</v>
      </c>
      <c r="AC9" s="118" t="s">
        <v>203</v>
      </c>
      <c r="AD9" s="123"/>
      <c r="AE9" s="123"/>
      <c r="AF9" s="118" t="s">
        <v>203</v>
      </c>
      <c r="AG9" s="118" t="s">
        <v>203</v>
      </c>
      <c r="AH9" s="118" t="s">
        <v>203</v>
      </c>
      <c r="AI9" s="118" t="s">
        <v>203</v>
      </c>
      <c r="AJ9" s="118" t="s">
        <v>203</v>
      </c>
      <c r="AK9" s="118" cm="1">
        <f t="array" ref="AK9">_xlfn.LET(_xlpm.TotalCount, COUNTIF(D9:AJ9, "ล") + COUNTIF('เวลา 6'!C9:AX9, "ล") + COUNTIF('เวลา 5'!C9:AX9, "ล") + COUNTIF('เวลา 4'!C9:AR9, "ล") + COUNTIF(เวลา3!C9:AY9, "ล") + COUNTIF(เวลา2!C9:AZ9, "ล") + COUNTIF(เวลา1!G9:AD9, "ล"), IF(_xlpm.TotalCount=0, "-", _xlpm.TotalCount))</f>
        <v>3</v>
      </c>
      <c r="AL9" s="118" cm="1">
        <f t="array" ref="AL9">_xlfn.LET(_xlpm.TotalCount, COUNTIF(D9:AJ9, "ข") + COUNTIF('เวลา 6'!C9:AX9, "ข") + COUNTIF('เวลา 5'!C9:AX9, "ข") + COUNTIF('เวลา 4'!C9:AR9, "ข") + COUNTIF(เวลา3!C9:AY9, "ข") + COUNTIF(เวลา2!C9:AZ9, "ข") + COUNTIF(เวลา1!G9:AD9, "ข"), IF(_xlpm.TotalCount=0, "-", _xlpm.TotalCount))</f>
        <v>2</v>
      </c>
      <c r="AM9" s="129" cm="1">
        <f t="array" ref="AM9">_xlfn.LET(_xlpm.TotalCount, COUNTIF(D9:AJ9, "/") + COUNTIF('เวลา 6'!C9:AX9, "/") + COUNTIF('เวลา 5'!C9:AX9, "/") + COUNTIF('เวลา 4'!C9:AR9, "/") + COUNTIF(เวลา3!C9:AY9, "/") + COUNTIF(เวลา2!C9:AZ9, "/") + COUNTIF(เวลา1!G9:AD9, "/"), IF(_xlpm.TotalCount=0, "-", _xlpm.TotalCount))</f>
        <v>195</v>
      </c>
      <c r="AN9" s="129">
        <f t="shared" si="0"/>
        <v>97.5</v>
      </c>
    </row>
    <row r="10" spans="2:40" ht="18.75">
      <c r="B10" s="5">
        <v>6</v>
      </c>
      <c r="C10" s="142"/>
      <c r="D10" s="118" t="s">
        <v>203</v>
      </c>
      <c r="E10" s="118" t="s">
        <v>203</v>
      </c>
      <c r="F10" s="118" t="s">
        <v>203</v>
      </c>
      <c r="G10" s="118" t="s">
        <v>203</v>
      </c>
      <c r="H10" s="118" t="s">
        <v>203</v>
      </c>
      <c r="I10" s="123"/>
      <c r="J10" s="123"/>
      <c r="K10" s="118" t="s">
        <v>203</v>
      </c>
      <c r="L10" s="118" t="s">
        <v>203</v>
      </c>
      <c r="M10" s="118" t="s">
        <v>203</v>
      </c>
      <c r="N10" s="118" t="s">
        <v>203</v>
      </c>
      <c r="O10" s="118" t="s">
        <v>203</v>
      </c>
      <c r="P10" s="123"/>
      <c r="Q10" s="123"/>
      <c r="R10" s="118" t="s">
        <v>203</v>
      </c>
      <c r="S10" s="118" t="s">
        <v>203</v>
      </c>
      <c r="T10" s="118" t="s">
        <v>203</v>
      </c>
      <c r="U10" s="118" t="s">
        <v>203</v>
      </c>
      <c r="V10" s="118" t="s">
        <v>203</v>
      </c>
      <c r="W10" s="123"/>
      <c r="X10" s="123"/>
      <c r="Y10" s="118" t="s">
        <v>203</v>
      </c>
      <c r="Z10" s="118" t="s">
        <v>203</v>
      </c>
      <c r="AA10" s="118" t="s">
        <v>203</v>
      </c>
      <c r="AB10" s="118" t="s">
        <v>203</v>
      </c>
      <c r="AC10" s="118" t="s">
        <v>203</v>
      </c>
      <c r="AD10" s="123"/>
      <c r="AE10" s="123"/>
      <c r="AF10" s="118" t="s">
        <v>203</v>
      </c>
      <c r="AG10" s="118" t="s">
        <v>203</v>
      </c>
      <c r="AH10" s="118" t="s">
        <v>203</v>
      </c>
      <c r="AI10" s="118" t="s">
        <v>203</v>
      </c>
      <c r="AJ10" s="118" t="s">
        <v>203</v>
      </c>
      <c r="AK10" s="118" cm="1">
        <f t="array" ref="AK10">_xlfn.LET(_xlpm.TotalCount, COUNTIF(D10:AJ10, "ล") + COUNTIF('เวลา 6'!C10:AX10, "ล") + COUNTIF('เวลา 5'!C10:AX10, "ล") + COUNTIF('เวลา 4'!C10:AR10, "ล") + COUNTIF(เวลา3!C10:AY10, "ล") + COUNTIF(เวลา2!C10:AZ10, "ล") + COUNTIF(เวลา1!G10:AD10, "ล"), IF(_xlpm.TotalCount=0, "-", _xlpm.TotalCount))</f>
        <v>2</v>
      </c>
      <c r="AL10" s="118" cm="1">
        <f t="array" ref="AL10">_xlfn.LET(_xlpm.TotalCount, COUNTIF(D10:AJ10, "ข") + COUNTIF('เวลา 6'!C10:AX10, "ข") + COUNTIF('เวลา 5'!C10:AX10, "ข") + COUNTIF('เวลา 4'!C10:AR10, "ข") + COUNTIF(เวลา3!C10:AY10, "ข") + COUNTIF(เวลา2!C10:AZ10, "ข") + COUNTIF(เวลา1!G10:AD10, "ข"), IF(_xlpm.TotalCount=0, "-", _xlpm.TotalCount))</f>
        <v>1</v>
      </c>
      <c r="AM10" s="129" cm="1">
        <f t="array" ref="AM10">_xlfn.LET(_xlpm.TotalCount, COUNTIF(D10:AJ10, "/") + COUNTIF('เวลา 6'!C10:AX10, "/") + COUNTIF('เวลา 5'!C10:AX10, "/") + COUNTIF('เวลา 4'!C10:AR10, "/") + COUNTIF(เวลา3!C10:AY10, "/") + COUNTIF(เวลา2!C10:AZ10, "/") + COUNTIF(เวลา1!G10:AD10, "/"), IF(_xlpm.TotalCount=0, "-", _xlpm.TotalCount))</f>
        <v>197</v>
      </c>
      <c r="AN10" s="129">
        <f t="shared" si="0"/>
        <v>98.5</v>
      </c>
    </row>
    <row r="11" spans="2:40" ht="18.75">
      <c r="B11" s="5">
        <v>7</v>
      </c>
      <c r="C11" s="142"/>
      <c r="D11" s="118" t="s">
        <v>203</v>
      </c>
      <c r="E11" s="118" t="s">
        <v>203</v>
      </c>
      <c r="F11" s="118" t="s">
        <v>203</v>
      </c>
      <c r="G11" s="118" t="s">
        <v>203</v>
      </c>
      <c r="H11" s="118" t="s">
        <v>203</v>
      </c>
      <c r="I11" s="123"/>
      <c r="J11" s="123"/>
      <c r="K11" s="118" t="s">
        <v>203</v>
      </c>
      <c r="L11" s="118" t="s">
        <v>203</v>
      </c>
      <c r="M11" s="118" t="s">
        <v>203</v>
      </c>
      <c r="N11" s="118" t="s">
        <v>203</v>
      </c>
      <c r="O11" s="118" t="s">
        <v>203</v>
      </c>
      <c r="P11" s="123"/>
      <c r="Q11" s="123"/>
      <c r="R11" s="118" t="s">
        <v>203</v>
      </c>
      <c r="S11" s="118" t="s">
        <v>203</v>
      </c>
      <c r="T11" s="118" t="s">
        <v>203</v>
      </c>
      <c r="U11" s="118" t="s">
        <v>203</v>
      </c>
      <c r="V11" s="118" t="s">
        <v>203</v>
      </c>
      <c r="W11" s="123"/>
      <c r="X11" s="123"/>
      <c r="Y11" s="118" t="s">
        <v>203</v>
      </c>
      <c r="Z11" s="118" t="s">
        <v>203</v>
      </c>
      <c r="AA11" s="118" t="s">
        <v>203</v>
      </c>
      <c r="AB11" s="118" t="s">
        <v>203</v>
      </c>
      <c r="AC11" s="118" t="s">
        <v>203</v>
      </c>
      <c r="AD11" s="123"/>
      <c r="AE11" s="123"/>
      <c r="AF11" s="118" t="s">
        <v>203</v>
      </c>
      <c r="AG11" s="118" t="s">
        <v>203</v>
      </c>
      <c r="AH11" s="118" t="s">
        <v>203</v>
      </c>
      <c r="AI11" s="118" t="s">
        <v>203</v>
      </c>
      <c r="AJ11" s="118" t="s">
        <v>203</v>
      </c>
      <c r="AK11" s="118" cm="1">
        <f t="array" ref="AK11">_xlfn.LET(_xlpm.TotalCount, COUNTIF(D11:AJ11, "ล") + COUNTIF('เวลา 6'!C11:AX11, "ล") + COUNTIF('เวลา 5'!C11:AX11, "ล") + COUNTIF('เวลา 4'!C11:AR11, "ล") + COUNTIF(เวลา3!C11:AY11, "ล") + COUNTIF(เวลา2!C11:AZ11, "ล") + COUNTIF(เวลา1!G11:AD11, "ล"), IF(_xlpm.TotalCount=0, "-", _xlpm.TotalCount))</f>
        <v>3</v>
      </c>
      <c r="AL11" s="118" cm="1">
        <f t="array" ref="AL11">_xlfn.LET(_xlpm.TotalCount, COUNTIF(D11:AJ11, "ข") + COUNTIF('เวลา 6'!C11:AX11, "ข") + COUNTIF('เวลา 5'!C11:AX11, "ข") + COUNTIF('เวลา 4'!C11:AR11, "ข") + COUNTIF(เวลา3!C11:AY11, "ข") + COUNTIF(เวลา2!C11:AZ11, "ข") + COUNTIF(เวลา1!G11:AD11, "ข"), IF(_xlpm.TotalCount=0, "-", _xlpm.TotalCount))</f>
        <v>1</v>
      </c>
      <c r="AM11" s="129" cm="1">
        <f t="array" ref="AM11">_xlfn.LET(_xlpm.TotalCount, COUNTIF(D11:AJ11, "/") + COUNTIF('เวลา 6'!C11:AX11, "/") + COUNTIF('เวลา 5'!C11:AX11, "/") + COUNTIF('เวลา 4'!C11:AR11, "/") + COUNTIF(เวลา3!C11:AY11, "/") + COUNTIF(เวลา2!C11:AZ11, "/") + COUNTIF(เวลา1!G11:AD11, "/"), IF(_xlpm.TotalCount=0, "-", _xlpm.TotalCount))</f>
        <v>196</v>
      </c>
      <c r="AN11" s="129">
        <f t="shared" si="0"/>
        <v>98</v>
      </c>
    </row>
    <row r="12" spans="2:40" ht="18.75">
      <c r="B12" s="5">
        <v>8</v>
      </c>
      <c r="C12" s="142"/>
      <c r="D12" s="118" t="s">
        <v>203</v>
      </c>
      <c r="E12" s="118" t="s">
        <v>203</v>
      </c>
      <c r="F12" s="118" t="s">
        <v>203</v>
      </c>
      <c r="G12" s="118" t="s">
        <v>203</v>
      </c>
      <c r="H12" s="118" t="s">
        <v>203</v>
      </c>
      <c r="I12" s="123"/>
      <c r="J12" s="123"/>
      <c r="K12" s="118" t="s">
        <v>203</v>
      </c>
      <c r="L12" s="118" t="s">
        <v>203</v>
      </c>
      <c r="M12" s="118" t="s">
        <v>203</v>
      </c>
      <c r="N12" s="118" t="s">
        <v>204</v>
      </c>
      <c r="O12" s="118" t="s">
        <v>203</v>
      </c>
      <c r="P12" s="123"/>
      <c r="Q12" s="123"/>
      <c r="R12" s="118" t="s">
        <v>203</v>
      </c>
      <c r="S12" s="118" t="s">
        <v>203</v>
      </c>
      <c r="T12" s="118" t="s">
        <v>203</v>
      </c>
      <c r="U12" s="118" t="s">
        <v>203</v>
      </c>
      <c r="V12" s="118" t="s">
        <v>203</v>
      </c>
      <c r="W12" s="123"/>
      <c r="X12" s="123"/>
      <c r="Y12" s="118" t="s">
        <v>203</v>
      </c>
      <c r="Z12" s="118" t="s">
        <v>203</v>
      </c>
      <c r="AA12" s="118" t="s">
        <v>203</v>
      </c>
      <c r="AB12" s="118" t="s">
        <v>203</v>
      </c>
      <c r="AC12" s="118" t="s">
        <v>203</v>
      </c>
      <c r="AD12" s="123"/>
      <c r="AE12" s="123"/>
      <c r="AF12" s="118" t="s">
        <v>203</v>
      </c>
      <c r="AG12" s="118" t="s">
        <v>203</v>
      </c>
      <c r="AH12" s="118" t="s">
        <v>203</v>
      </c>
      <c r="AI12" s="118" t="s">
        <v>203</v>
      </c>
      <c r="AJ12" s="118" t="s">
        <v>203</v>
      </c>
      <c r="AK12" s="118" cm="1">
        <f t="array" ref="AK12">_xlfn.LET(_xlpm.TotalCount, COUNTIF(D12:AJ12, "ล") + COUNTIF('เวลา 6'!C12:AX12, "ล") + COUNTIF('เวลา 5'!C12:AX12, "ล") + COUNTIF('เวลา 4'!C12:AR12, "ล") + COUNTIF(เวลา3!C12:AY12, "ล") + COUNTIF(เวลา2!C12:AZ12, "ล") + COUNTIF(เวลา1!G12:AD12, "ล"), IF(_xlpm.TotalCount=0, "-", _xlpm.TotalCount))</f>
        <v>1</v>
      </c>
      <c r="AL12" s="118" t="str" cm="1">
        <f t="array" ref="AL12">_xlfn.LET(_xlpm.TotalCount, COUNTIF(D12:AJ12, "ข") + COUNTIF('เวลา 6'!C12:AX12, "ข") + COUNTIF('เวลา 5'!C12:AX12, "ข") + COUNTIF('เวลา 4'!C12:AR12, "ข") + COUNTIF(เวลา3!C12:AY12, "ข") + COUNTIF(เวลา2!C12:AZ12, "ข") + COUNTIF(เวลา1!G12:AD12, "ข"), IF(_xlpm.TotalCount=0, "-", _xlpm.TotalCount))</f>
        <v>-</v>
      </c>
      <c r="AM12" s="129" cm="1">
        <f t="array" ref="AM12">_xlfn.LET(_xlpm.TotalCount, COUNTIF(D12:AJ12, "/") + COUNTIF('เวลา 6'!C12:AX12, "/") + COUNTIF('เวลา 5'!C12:AX12, "/") + COUNTIF('เวลา 4'!C12:AR12, "/") + COUNTIF(เวลา3!C12:AY12, "/") + COUNTIF(เวลา2!C12:AZ12, "/") + COUNTIF(เวลา1!G12:AD12, "/"), IF(_xlpm.TotalCount=0, "-", _xlpm.TotalCount))</f>
        <v>199</v>
      </c>
      <c r="AN12" s="129">
        <f t="shared" si="0"/>
        <v>99.5</v>
      </c>
    </row>
    <row r="13" spans="2:40" ht="18.75">
      <c r="B13" s="5">
        <v>9</v>
      </c>
      <c r="C13" s="142"/>
      <c r="D13" s="118" t="s">
        <v>203</v>
      </c>
      <c r="E13" s="118" t="s">
        <v>203</v>
      </c>
      <c r="F13" s="118" t="s">
        <v>203</v>
      </c>
      <c r="G13" s="118" t="s">
        <v>203</v>
      </c>
      <c r="H13" s="118" t="s">
        <v>203</v>
      </c>
      <c r="I13" s="123"/>
      <c r="J13" s="123"/>
      <c r="K13" s="118" t="s">
        <v>203</v>
      </c>
      <c r="L13" s="118" t="s">
        <v>203</v>
      </c>
      <c r="M13" s="118" t="s">
        <v>203</v>
      </c>
      <c r="N13" s="118" t="s">
        <v>203</v>
      </c>
      <c r="O13" s="118" t="s">
        <v>203</v>
      </c>
      <c r="P13" s="123"/>
      <c r="Q13" s="123"/>
      <c r="R13" s="118" t="s">
        <v>203</v>
      </c>
      <c r="S13" s="118" t="s">
        <v>203</v>
      </c>
      <c r="T13" s="118" t="s">
        <v>203</v>
      </c>
      <c r="U13" s="118" t="s">
        <v>203</v>
      </c>
      <c r="V13" s="118" t="s">
        <v>203</v>
      </c>
      <c r="W13" s="123"/>
      <c r="X13" s="123"/>
      <c r="Y13" s="118" t="s">
        <v>203</v>
      </c>
      <c r="Z13" s="118" t="s">
        <v>203</v>
      </c>
      <c r="AA13" s="118" t="s">
        <v>203</v>
      </c>
      <c r="AB13" s="118" t="s">
        <v>203</v>
      </c>
      <c r="AC13" s="118" t="s">
        <v>203</v>
      </c>
      <c r="AD13" s="123"/>
      <c r="AE13" s="123"/>
      <c r="AF13" s="118" t="s">
        <v>203</v>
      </c>
      <c r="AG13" s="118" t="s">
        <v>203</v>
      </c>
      <c r="AH13" s="118" t="s">
        <v>203</v>
      </c>
      <c r="AI13" s="118" t="s">
        <v>203</v>
      </c>
      <c r="AJ13" s="118" t="s">
        <v>203</v>
      </c>
      <c r="AK13" s="118" cm="1">
        <f t="array" ref="AK13">_xlfn.LET(_xlpm.TotalCount, COUNTIF(D13:AJ13, "ล") + COUNTIF('เวลา 6'!C13:AX13, "ล") + COUNTIF('เวลา 5'!C13:AX13, "ล") + COUNTIF('เวลา 4'!C13:AR13, "ล") + COUNTIF(เวลา3!C13:AY13, "ล") + COUNTIF(เวลา2!C13:AZ13, "ล") + COUNTIF(เวลา1!G13:AD13, "ล"), IF(_xlpm.TotalCount=0, "-", _xlpm.TotalCount))</f>
        <v>2</v>
      </c>
      <c r="AL13" s="118" cm="1">
        <f t="array" ref="AL13">_xlfn.LET(_xlpm.TotalCount, COUNTIF(D13:AJ13, "ข") + COUNTIF('เวลา 6'!C13:AX13, "ข") + COUNTIF('เวลา 5'!C13:AX13, "ข") + COUNTIF('เวลา 4'!C13:AR13, "ข") + COUNTIF(เวลา3!C13:AY13, "ข") + COUNTIF(เวลา2!C13:AZ13, "ข") + COUNTIF(เวลา1!G13:AD13, "ข"), IF(_xlpm.TotalCount=0, "-", _xlpm.TotalCount))</f>
        <v>1</v>
      </c>
      <c r="AM13" s="129" cm="1">
        <f t="array" ref="AM13">_xlfn.LET(_xlpm.TotalCount, COUNTIF(D13:AJ13, "/") + COUNTIF('เวลา 6'!C13:AX13, "/") + COUNTIF('เวลา 5'!C13:AX13, "/") + COUNTIF('เวลา 4'!C13:AR13, "/") + COUNTIF(เวลา3!C13:AY13, "/") + COUNTIF(เวลา2!C13:AZ13, "/") + COUNTIF(เวลา1!G13:AD13, "/"), IF(_xlpm.TotalCount=0, "-", _xlpm.TotalCount))</f>
        <v>197</v>
      </c>
      <c r="AN13" s="129">
        <f t="shared" si="0"/>
        <v>98.5</v>
      </c>
    </row>
    <row r="14" spans="2:40" ht="18.75">
      <c r="B14" s="5">
        <v>10</v>
      </c>
      <c r="C14" s="142"/>
      <c r="D14" s="118" t="s">
        <v>203</v>
      </c>
      <c r="E14" s="118" t="s">
        <v>203</v>
      </c>
      <c r="F14" s="118" t="s">
        <v>204</v>
      </c>
      <c r="G14" s="118" t="s">
        <v>203</v>
      </c>
      <c r="H14" s="118" t="s">
        <v>203</v>
      </c>
      <c r="I14" s="123"/>
      <c r="J14" s="123"/>
      <c r="K14" s="118" t="s">
        <v>203</v>
      </c>
      <c r="L14" s="118" t="s">
        <v>203</v>
      </c>
      <c r="M14" s="118" t="s">
        <v>203</v>
      </c>
      <c r="N14" s="118" t="s">
        <v>203</v>
      </c>
      <c r="O14" s="118" t="s">
        <v>203</v>
      </c>
      <c r="P14" s="123"/>
      <c r="Q14" s="123"/>
      <c r="R14" s="118" t="s">
        <v>203</v>
      </c>
      <c r="S14" s="118" t="s">
        <v>203</v>
      </c>
      <c r="T14" s="118" t="s">
        <v>203</v>
      </c>
      <c r="U14" s="118" t="s">
        <v>203</v>
      </c>
      <c r="V14" s="118" t="s">
        <v>203</v>
      </c>
      <c r="W14" s="123"/>
      <c r="X14" s="123"/>
      <c r="Y14" s="118" t="s">
        <v>203</v>
      </c>
      <c r="Z14" s="118" t="s">
        <v>203</v>
      </c>
      <c r="AA14" s="118" t="s">
        <v>203</v>
      </c>
      <c r="AB14" s="118" t="s">
        <v>203</v>
      </c>
      <c r="AC14" s="118" t="s">
        <v>203</v>
      </c>
      <c r="AD14" s="123"/>
      <c r="AE14" s="123"/>
      <c r="AF14" s="118" t="s">
        <v>203</v>
      </c>
      <c r="AG14" s="118" t="s">
        <v>203</v>
      </c>
      <c r="AH14" s="118" t="s">
        <v>203</v>
      </c>
      <c r="AI14" s="118" t="s">
        <v>203</v>
      </c>
      <c r="AJ14" s="118" t="s">
        <v>203</v>
      </c>
      <c r="AK14" s="118" cm="1">
        <f t="array" ref="AK14">_xlfn.LET(_xlpm.TotalCount, COUNTIF(D14:AJ14, "ล") + COUNTIF('เวลา 6'!C14:AX14, "ล") + COUNTIF('เวลา 5'!C14:AX14, "ล") + COUNTIF('เวลา 4'!C14:AR14, "ล") + COUNTIF(เวลา3!C14:AY14, "ล") + COUNTIF(เวลา2!C14:AZ14, "ล") + COUNTIF(เวลา1!G14:AD14, "ล"), IF(_xlpm.TotalCount=0, "-", _xlpm.TotalCount))</f>
        <v>2</v>
      </c>
      <c r="AL14" s="118" cm="1">
        <f t="array" ref="AL14">_xlfn.LET(_xlpm.TotalCount, COUNTIF(D14:AJ14, "ข") + COUNTIF('เวลา 6'!C14:AX14, "ข") + COUNTIF('เวลา 5'!C14:AX14, "ข") + COUNTIF('เวลา 4'!C14:AR14, "ข") + COUNTIF(เวลา3!C14:AY14, "ข") + COUNTIF(เวลา2!C14:AZ14, "ข") + COUNTIF(เวลา1!G14:AD14, "ข"), IF(_xlpm.TotalCount=0, "-", _xlpm.TotalCount))</f>
        <v>1</v>
      </c>
      <c r="AM14" s="129" cm="1">
        <f t="array" ref="AM14">_xlfn.LET(_xlpm.TotalCount, COUNTIF(D14:AJ14, "/") + COUNTIF('เวลา 6'!C14:AX14, "/") + COUNTIF('เวลา 5'!C14:AX14, "/") + COUNTIF('เวลา 4'!C14:AR14, "/") + COUNTIF(เวลา3!C14:AY14, "/") + COUNTIF(เวลา2!C14:AZ14, "/") + COUNTIF(เวลา1!G14:AD14, "/"), IF(_xlpm.TotalCount=0, "-", _xlpm.TotalCount))</f>
        <v>197</v>
      </c>
      <c r="AN14" s="129">
        <f t="shared" si="0"/>
        <v>98.5</v>
      </c>
    </row>
    <row r="15" spans="2:40" ht="18.75">
      <c r="B15" s="5">
        <v>11</v>
      </c>
      <c r="C15" s="142"/>
      <c r="D15" s="118" t="s">
        <v>203</v>
      </c>
      <c r="E15" s="118" t="s">
        <v>203</v>
      </c>
      <c r="F15" s="118" t="s">
        <v>203</v>
      </c>
      <c r="G15" s="118" t="s">
        <v>203</v>
      </c>
      <c r="H15" s="118" t="s">
        <v>203</v>
      </c>
      <c r="I15" s="123"/>
      <c r="J15" s="123"/>
      <c r="K15" s="118" t="s">
        <v>203</v>
      </c>
      <c r="L15" s="118" t="s">
        <v>203</v>
      </c>
      <c r="M15" s="118" t="s">
        <v>203</v>
      </c>
      <c r="N15" s="118" t="s">
        <v>203</v>
      </c>
      <c r="O15" s="118" t="s">
        <v>203</v>
      </c>
      <c r="P15" s="123"/>
      <c r="Q15" s="123"/>
      <c r="R15" s="118" t="s">
        <v>203</v>
      </c>
      <c r="S15" s="118" t="s">
        <v>203</v>
      </c>
      <c r="T15" s="118" t="s">
        <v>203</v>
      </c>
      <c r="U15" s="118" t="s">
        <v>203</v>
      </c>
      <c r="V15" s="118" t="s">
        <v>203</v>
      </c>
      <c r="W15" s="123"/>
      <c r="X15" s="123"/>
      <c r="Y15" s="118" t="s">
        <v>203</v>
      </c>
      <c r="Z15" s="118" t="s">
        <v>203</v>
      </c>
      <c r="AA15" s="118" t="s">
        <v>203</v>
      </c>
      <c r="AB15" s="118" t="s">
        <v>203</v>
      </c>
      <c r="AC15" s="118" t="s">
        <v>203</v>
      </c>
      <c r="AD15" s="123"/>
      <c r="AE15" s="123"/>
      <c r="AF15" s="118" t="s">
        <v>203</v>
      </c>
      <c r="AG15" s="118" t="s">
        <v>203</v>
      </c>
      <c r="AH15" s="118" t="s">
        <v>203</v>
      </c>
      <c r="AI15" s="118" t="s">
        <v>203</v>
      </c>
      <c r="AJ15" s="118" t="s">
        <v>203</v>
      </c>
      <c r="AK15" s="118" cm="1">
        <f t="array" ref="AK15">_xlfn.LET(_xlpm.TotalCount, COUNTIF(D15:AJ15, "ล") + COUNTIF('เวลา 6'!C15:AX15, "ล") + COUNTIF('เวลา 5'!C15:AX15, "ล") + COUNTIF('เวลา 4'!C15:AR15, "ล") + COUNTIF(เวลา3!C15:AY15, "ล") + COUNTIF(เวลา2!C15:AZ15, "ล") + COUNTIF(เวลา1!G15:AD15, "ล"), IF(_xlpm.TotalCount=0, "-", _xlpm.TotalCount))</f>
        <v>1</v>
      </c>
      <c r="AL15" s="118" cm="1">
        <f t="array" ref="AL15">_xlfn.LET(_xlpm.TotalCount, COUNTIF(D15:AJ15, "ข") + COUNTIF('เวลา 6'!C15:AX15, "ข") + COUNTIF('เวลา 5'!C15:AX15, "ข") + COUNTIF('เวลา 4'!C15:AR15, "ข") + COUNTIF(เวลา3!C15:AY15, "ข") + COUNTIF(เวลา2!C15:AZ15, "ข") + COUNTIF(เวลา1!G15:AD15, "ข"), IF(_xlpm.TotalCount=0, "-", _xlpm.TotalCount))</f>
        <v>3</v>
      </c>
      <c r="AM15" s="129" cm="1">
        <f t="array" ref="AM15">_xlfn.LET(_xlpm.TotalCount, COUNTIF(D15:AJ15, "/") + COUNTIF('เวลา 6'!C15:AX15, "/") + COUNTIF('เวลา 5'!C15:AX15, "/") + COUNTIF('เวลา 4'!C15:AR15, "/") + COUNTIF(เวลา3!C15:AY15, "/") + COUNTIF(เวลา2!C15:AZ15, "/") + COUNTIF(เวลา1!G15:AD15, "/"), IF(_xlpm.TotalCount=0, "-", _xlpm.TotalCount))</f>
        <v>196</v>
      </c>
      <c r="AN15" s="129">
        <f t="shared" si="0"/>
        <v>98</v>
      </c>
    </row>
    <row r="16" spans="2:40" ht="18.75">
      <c r="B16" s="5">
        <v>12</v>
      </c>
      <c r="C16" s="142"/>
      <c r="D16" s="118" t="s">
        <v>203</v>
      </c>
      <c r="E16" s="118" t="s">
        <v>203</v>
      </c>
      <c r="F16" s="118" t="s">
        <v>203</v>
      </c>
      <c r="G16" s="118" t="s">
        <v>203</v>
      </c>
      <c r="H16" s="118" t="s">
        <v>203</v>
      </c>
      <c r="I16" s="123"/>
      <c r="J16" s="123"/>
      <c r="K16" s="118" t="s">
        <v>203</v>
      </c>
      <c r="L16" s="118" t="s">
        <v>203</v>
      </c>
      <c r="M16" s="118" t="s">
        <v>203</v>
      </c>
      <c r="N16" s="118" t="s">
        <v>203</v>
      </c>
      <c r="O16" s="118" t="s">
        <v>203</v>
      </c>
      <c r="P16" s="123"/>
      <c r="Q16" s="123"/>
      <c r="R16" s="118" t="s">
        <v>203</v>
      </c>
      <c r="S16" s="118" t="s">
        <v>203</v>
      </c>
      <c r="T16" s="118" t="s">
        <v>205</v>
      </c>
      <c r="U16" s="118" t="s">
        <v>203</v>
      </c>
      <c r="V16" s="118" t="s">
        <v>203</v>
      </c>
      <c r="W16" s="123"/>
      <c r="X16" s="123"/>
      <c r="Y16" s="118" t="s">
        <v>203</v>
      </c>
      <c r="Z16" s="118" t="s">
        <v>203</v>
      </c>
      <c r="AA16" s="118" t="s">
        <v>203</v>
      </c>
      <c r="AB16" s="118" t="s">
        <v>203</v>
      </c>
      <c r="AC16" s="118" t="s">
        <v>203</v>
      </c>
      <c r="AD16" s="123"/>
      <c r="AE16" s="123"/>
      <c r="AF16" s="118" t="s">
        <v>203</v>
      </c>
      <c r="AG16" s="118" t="s">
        <v>203</v>
      </c>
      <c r="AH16" s="118" t="s">
        <v>203</v>
      </c>
      <c r="AI16" s="118" t="s">
        <v>203</v>
      </c>
      <c r="AJ16" s="118" t="s">
        <v>203</v>
      </c>
      <c r="AK16" s="118" cm="1">
        <f t="array" ref="AK16">_xlfn.LET(_xlpm.TotalCount, COUNTIF(D16:AJ16, "ล") + COUNTIF('เวลา 6'!C16:AX16, "ล") + COUNTIF('เวลา 5'!C16:AX16, "ล") + COUNTIF('เวลา 4'!C16:AR16, "ล") + COUNTIF(เวลา3!C16:AY16, "ล") + COUNTIF(เวลา2!C16:AZ16, "ล") + COUNTIF(เวลา1!G16:AD16, "ล"), IF(_xlpm.TotalCount=0, "-", _xlpm.TotalCount))</f>
        <v>1</v>
      </c>
      <c r="AL16" s="118" cm="1">
        <f t="array" ref="AL16">_xlfn.LET(_xlpm.TotalCount, COUNTIF(D16:AJ16, "ข") + COUNTIF('เวลา 6'!C16:AX16, "ข") + COUNTIF('เวลา 5'!C16:AX16, "ข") + COUNTIF('เวลา 4'!C16:AR16, "ข") + COUNTIF(เวลา3!C16:AY16, "ข") + COUNTIF(เวลา2!C16:AZ16, "ข") + COUNTIF(เวลา1!G16:AD16, "ข"), IF(_xlpm.TotalCount=0, "-", _xlpm.TotalCount))</f>
        <v>2</v>
      </c>
      <c r="AM16" s="129" cm="1">
        <f t="array" ref="AM16">_xlfn.LET(_xlpm.TotalCount, COUNTIF(D16:AJ16, "/") + COUNTIF('เวลา 6'!C16:AX16, "/") + COUNTIF('เวลา 5'!C16:AX16, "/") + COUNTIF('เวลา 4'!C16:AR16, "/") + COUNTIF(เวลา3!C16:AY16, "/") + COUNTIF(เวลา2!C16:AZ16, "/") + COUNTIF(เวลา1!G16:AD16, "/"), IF(_xlpm.TotalCount=0, "-", _xlpm.TotalCount))</f>
        <v>197</v>
      </c>
      <c r="AN16" s="129">
        <f t="shared" si="0"/>
        <v>98.5</v>
      </c>
    </row>
    <row r="17" spans="2:40" ht="18.75">
      <c r="B17" s="5">
        <v>13</v>
      </c>
      <c r="C17" s="142"/>
      <c r="D17" s="118" t="s">
        <v>203</v>
      </c>
      <c r="E17" s="118" t="s">
        <v>203</v>
      </c>
      <c r="F17" s="118" t="s">
        <v>203</v>
      </c>
      <c r="G17" s="118" t="s">
        <v>203</v>
      </c>
      <c r="H17" s="118" t="s">
        <v>203</v>
      </c>
      <c r="I17" s="123"/>
      <c r="J17" s="123"/>
      <c r="K17" s="118" t="s">
        <v>203</v>
      </c>
      <c r="L17" s="118" t="s">
        <v>203</v>
      </c>
      <c r="M17" s="118" t="s">
        <v>203</v>
      </c>
      <c r="N17" s="118" t="s">
        <v>203</v>
      </c>
      <c r="O17" s="118" t="s">
        <v>203</v>
      </c>
      <c r="P17" s="123"/>
      <c r="Q17" s="123"/>
      <c r="R17" s="118" t="s">
        <v>203</v>
      </c>
      <c r="S17" s="118" t="s">
        <v>203</v>
      </c>
      <c r="T17" s="118" t="s">
        <v>203</v>
      </c>
      <c r="U17" s="118" t="s">
        <v>203</v>
      </c>
      <c r="V17" s="118" t="s">
        <v>203</v>
      </c>
      <c r="W17" s="123"/>
      <c r="X17" s="123"/>
      <c r="Y17" s="118" t="s">
        <v>203</v>
      </c>
      <c r="Z17" s="118" t="s">
        <v>203</v>
      </c>
      <c r="AA17" s="118" t="s">
        <v>203</v>
      </c>
      <c r="AB17" s="118" t="s">
        <v>203</v>
      </c>
      <c r="AC17" s="118" t="s">
        <v>203</v>
      </c>
      <c r="AD17" s="123"/>
      <c r="AE17" s="123"/>
      <c r="AF17" s="118" t="s">
        <v>203</v>
      </c>
      <c r="AG17" s="118" t="s">
        <v>203</v>
      </c>
      <c r="AH17" s="118" t="s">
        <v>203</v>
      </c>
      <c r="AI17" s="118" t="s">
        <v>203</v>
      </c>
      <c r="AJ17" s="118" t="s">
        <v>203</v>
      </c>
      <c r="AK17" s="118" t="str" cm="1">
        <f t="array" ref="AK17">_xlfn.LET(_xlpm.TotalCount, COUNTIF(D17:AJ17, "ล") + COUNTIF('เวลา 6'!C17:AX17, "ล") + COUNTIF('เวลา 5'!C17:AX17, "ล") + COUNTIF('เวลา 4'!C17:AR17, "ล") + COUNTIF(เวลา3!C17:AY17, "ล") + COUNTIF(เวลา2!C17:AZ17, "ล") + COUNTIF(เวลา1!G17:AD17, "ล"), IF(_xlpm.TotalCount=0, "-", _xlpm.TotalCount))</f>
        <v>-</v>
      </c>
      <c r="AL17" s="118" t="str" cm="1">
        <f t="array" ref="AL17">_xlfn.LET(_xlpm.TotalCount, COUNTIF(D17:AJ17, "ข") + COUNTIF('เวลา 6'!C17:AX17, "ข") + COUNTIF('เวลา 5'!C17:AX17, "ข") + COUNTIF('เวลา 4'!C17:AR17, "ข") + COUNTIF(เวลา3!C17:AY17, "ข") + COUNTIF(เวลา2!C17:AZ17, "ข") + COUNTIF(เวลา1!G17:AD17, "ข"), IF(_xlpm.TotalCount=0, "-", _xlpm.TotalCount))</f>
        <v>-</v>
      </c>
      <c r="AM17" s="129" cm="1">
        <f t="array" ref="AM17">_xlfn.LET(_xlpm.TotalCount, COUNTIF(D17:AJ17, "/") + COUNTIF('เวลา 6'!C17:AX17, "/") + COUNTIF('เวลา 5'!C17:AX17, "/") + COUNTIF('เวลา 4'!C17:AR17, "/") + COUNTIF(เวลา3!C17:AY17, "/") + COUNTIF(เวลา2!C17:AZ17, "/") + COUNTIF(เวลา1!G17:AD17, "/"), IF(_xlpm.TotalCount=0, "-", _xlpm.TotalCount))</f>
        <v>200</v>
      </c>
      <c r="AN17" s="129">
        <f t="shared" ref="AN17" si="1">(AM17/SUM(AK17:AM17))*100</f>
        <v>100</v>
      </c>
    </row>
    <row r="18" spans="2:40">
      <c r="C18" s="1">
        <v>13</v>
      </c>
    </row>
  </sheetData>
  <protectedRanges>
    <protectedRange sqref="C5:C17 I5:J17 P5:Q17 W5:X17 AD5:AE17" name="ช่วง1"/>
    <protectedRange sqref="AK2 AK4" name="ช่วง2_1_2"/>
    <protectedRange sqref="AK5:AL17" name="ช่วง1_3_1_2"/>
    <protectedRange sqref="C2:AJ2" name="ช่วง1_2_1_1_3"/>
    <protectedRange sqref="C4:AJ4" name="ช่วง1_1"/>
    <protectedRange sqref="C3:AJ3" name="ช่วง1_2_1_1_1_1"/>
  </protectedRanges>
  <mergeCells count="15">
    <mergeCell ref="AL2:AL4"/>
    <mergeCell ref="AM2:AM4"/>
    <mergeCell ref="AN2:AN4"/>
    <mergeCell ref="C2:I2"/>
    <mergeCell ref="J2:P2"/>
    <mergeCell ref="Q2:W2"/>
    <mergeCell ref="X2:AD2"/>
    <mergeCell ref="AE2:AJ2"/>
    <mergeCell ref="AK2:AK4"/>
    <mergeCell ref="AK1:AN1"/>
    <mergeCell ref="C1:I1"/>
    <mergeCell ref="J1:P1"/>
    <mergeCell ref="Q1:W1"/>
    <mergeCell ref="X1:AD1"/>
    <mergeCell ref="AE1:AJ1"/>
  </mergeCells>
  <conditionalFormatting sqref="AK5:AM17">
    <cfRule type="cellIs" dxfId="0" priority="1" operator="equal">
      <formula>0</formula>
    </cfRule>
  </conditionalFormatting>
  <pageMargins left="0.7" right="0.7" top="0.75" bottom="0.75" header="0.3" footer="0.3"/>
  <pageSetup paperSize="9" fitToHeight="0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2"/>
  <sheetViews>
    <sheetView view="pageBreakPreview" topLeftCell="A12" zoomScale="120" zoomScaleNormal="100" zoomScaleSheetLayoutView="120" workbookViewId="0">
      <selection activeCell="D18" sqref="D18"/>
    </sheetView>
  </sheetViews>
  <sheetFormatPr defaultColWidth="9" defaultRowHeight="21"/>
  <cols>
    <col min="1" max="1" width="3" style="16" customWidth="1"/>
    <col min="2" max="2" width="3.42578125" style="19" customWidth="1"/>
    <col min="3" max="3" width="28.42578125" style="16" customWidth="1"/>
    <col min="4" max="4" width="6.85546875" style="16" customWidth="1"/>
    <col min="5" max="5" width="2.140625" style="16" customWidth="1"/>
    <col min="6" max="6" width="2.5703125" style="16" customWidth="1"/>
    <col min="7" max="7" width="2.42578125" style="16" customWidth="1"/>
    <col min="8" max="8" width="2.5703125" style="16" customWidth="1"/>
    <col min="9" max="10" width="2.85546875" style="16" customWidth="1"/>
    <col min="11" max="11" width="2.5703125" style="16" customWidth="1"/>
    <col min="12" max="12" width="2.7109375" style="16" customWidth="1"/>
    <col min="13" max="14" width="2.42578125" style="16" customWidth="1"/>
    <col min="15" max="15" width="2.5703125" style="16" customWidth="1"/>
    <col min="16" max="16" width="2.140625" style="16" customWidth="1"/>
    <col min="17" max="17" width="2.85546875" style="16" customWidth="1"/>
    <col min="18" max="18" width="2.42578125" style="16" customWidth="1"/>
    <col min="19" max="19" width="2.85546875" style="16" customWidth="1"/>
    <col min="20" max="20" width="2.42578125" style="16" customWidth="1"/>
    <col min="21" max="21" width="2.5703125" style="16" customWidth="1"/>
    <col min="22" max="23" width="2.85546875" style="16" customWidth="1"/>
    <col min="24" max="16384" width="9" style="16"/>
  </cols>
  <sheetData>
    <row r="1" spans="1:24" ht="23.25" customHeight="1">
      <c r="A1" s="124"/>
      <c r="B1" s="205" t="s">
        <v>56</v>
      </c>
      <c r="C1" s="207" t="s">
        <v>247</v>
      </c>
      <c r="D1" s="244" t="s">
        <v>248</v>
      </c>
      <c r="E1" s="243" t="s">
        <v>249</v>
      </c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</row>
    <row r="2" spans="1:24" ht="24" customHeight="1">
      <c r="A2" s="124"/>
      <c r="B2" s="205"/>
      <c r="C2" s="207"/>
      <c r="D2" s="244"/>
      <c r="E2" s="243" t="s">
        <v>250</v>
      </c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</row>
    <row r="3" spans="1:24" ht="61.5" customHeight="1">
      <c r="A3" s="124"/>
      <c r="B3" s="205"/>
      <c r="C3" s="207"/>
      <c r="D3" s="244"/>
      <c r="E3" s="169" t="s">
        <v>327</v>
      </c>
      <c r="F3" s="169" t="s">
        <v>328</v>
      </c>
      <c r="G3" s="169" t="s">
        <v>329</v>
      </c>
      <c r="H3" s="169" t="s">
        <v>330</v>
      </c>
      <c r="I3" s="169" t="s">
        <v>331</v>
      </c>
      <c r="J3" s="169" t="s">
        <v>332</v>
      </c>
      <c r="K3" s="169" t="s">
        <v>333</v>
      </c>
      <c r="L3" s="169" t="s">
        <v>334</v>
      </c>
      <c r="M3" s="169" t="s">
        <v>335</v>
      </c>
      <c r="N3" s="169" t="s">
        <v>336</v>
      </c>
      <c r="O3" s="169" t="s">
        <v>337</v>
      </c>
      <c r="P3" s="169" t="s">
        <v>338</v>
      </c>
      <c r="Q3" s="169" t="s">
        <v>339</v>
      </c>
      <c r="R3" s="169" t="s">
        <v>340</v>
      </c>
      <c r="S3" s="169" t="s">
        <v>341</v>
      </c>
      <c r="T3" s="169" t="s">
        <v>342</v>
      </c>
      <c r="U3" s="34"/>
      <c r="V3" s="34"/>
      <c r="W3" s="34"/>
    </row>
    <row r="4" spans="1:24" ht="19.5" customHeight="1">
      <c r="A4" s="124"/>
      <c r="B4" s="205"/>
      <c r="C4" s="207"/>
      <c r="D4" s="166" t="s">
        <v>251</v>
      </c>
      <c r="E4" s="8">
        <v>3</v>
      </c>
      <c r="F4" s="8">
        <v>3</v>
      </c>
      <c r="G4" s="8">
        <v>3</v>
      </c>
      <c r="H4" s="8">
        <v>3</v>
      </c>
      <c r="I4" s="8">
        <v>3</v>
      </c>
      <c r="J4" s="8">
        <v>3</v>
      </c>
      <c r="K4" s="8">
        <v>3</v>
      </c>
      <c r="L4" s="8">
        <v>3</v>
      </c>
      <c r="M4" s="8">
        <v>3</v>
      </c>
      <c r="N4" s="8">
        <v>3</v>
      </c>
      <c r="O4" s="8">
        <v>3</v>
      </c>
      <c r="P4" s="8">
        <v>3</v>
      </c>
      <c r="Q4" s="8">
        <v>3</v>
      </c>
      <c r="R4" s="8">
        <v>3</v>
      </c>
      <c r="S4" s="8">
        <v>3</v>
      </c>
      <c r="T4" s="8">
        <v>3</v>
      </c>
      <c r="U4" s="8"/>
      <c r="V4" s="8"/>
      <c r="W4" s="8"/>
    </row>
    <row r="5" spans="1:24" ht="18" customHeight="1">
      <c r="A5" s="124"/>
      <c r="B5" s="120">
        <v>1</v>
      </c>
      <c r="C5" s="136" t="str">
        <f>ข้อมูลเด็ก!F6</f>
        <v>เด็กชายปัณณวิชญ์   เปรียงพรม</v>
      </c>
      <c r="D5" s="125"/>
      <c r="E5" s="8">
        <v>3</v>
      </c>
      <c r="F5" s="8">
        <v>2</v>
      </c>
      <c r="G5" s="8">
        <v>3</v>
      </c>
      <c r="H5" s="8">
        <v>2</v>
      </c>
      <c r="I5" s="8">
        <v>3</v>
      </c>
      <c r="J5" s="8">
        <v>3</v>
      </c>
      <c r="K5" s="8">
        <v>3</v>
      </c>
      <c r="L5" s="8">
        <v>3</v>
      </c>
      <c r="M5" s="8">
        <v>2</v>
      </c>
      <c r="N5" s="8">
        <v>3</v>
      </c>
      <c r="O5" s="8">
        <v>3</v>
      </c>
      <c r="P5" s="8">
        <v>3</v>
      </c>
      <c r="Q5" s="8">
        <v>3</v>
      </c>
      <c r="R5" s="8">
        <v>2</v>
      </c>
      <c r="S5" s="8">
        <v>3</v>
      </c>
      <c r="T5" s="8">
        <v>2</v>
      </c>
      <c r="U5" s="8"/>
      <c r="V5" s="8"/>
      <c r="W5" s="8"/>
      <c r="X5" s="17"/>
    </row>
    <row r="6" spans="1:24" ht="18" customHeight="1">
      <c r="A6" s="124"/>
      <c r="B6" s="120">
        <v>2</v>
      </c>
      <c r="C6" s="136" t="str">
        <f>ข้อมูลเด็ก!F7</f>
        <v>เด็กชายรัชชานนท์  เทียมกลาง</v>
      </c>
      <c r="D6" s="125"/>
      <c r="E6" s="8">
        <v>3</v>
      </c>
      <c r="F6" s="8">
        <v>3</v>
      </c>
      <c r="G6" s="8">
        <v>3</v>
      </c>
      <c r="H6" s="8">
        <v>3</v>
      </c>
      <c r="I6" s="8">
        <v>3</v>
      </c>
      <c r="J6" s="8">
        <v>3</v>
      </c>
      <c r="K6" s="8">
        <v>3</v>
      </c>
      <c r="L6" s="8">
        <v>3</v>
      </c>
      <c r="M6" s="8">
        <v>3</v>
      </c>
      <c r="N6" s="8">
        <v>2</v>
      </c>
      <c r="O6" s="8">
        <v>3</v>
      </c>
      <c r="P6" s="8">
        <v>3</v>
      </c>
      <c r="Q6" s="8">
        <v>3</v>
      </c>
      <c r="R6" s="8">
        <v>3</v>
      </c>
      <c r="S6" s="8">
        <v>2</v>
      </c>
      <c r="T6" s="8">
        <v>2</v>
      </c>
      <c r="U6" s="8"/>
      <c r="V6" s="8"/>
      <c r="W6" s="8"/>
      <c r="X6" s="17"/>
    </row>
    <row r="7" spans="1:24" ht="18" customHeight="1">
      <c r="A7" s="124"/>
      <c r="B7" s="120">
        <v>3</v>
      </c>
      <c r="C7" s="136" t="str">
        <f>ข้อมูลเด็ก!F8</f>
        <v>เด็กชายรณกฤต  สองเมือง</v>
      </c>
      <c r="D7" s="125"/>
      <c r="E7" s="8">
        <v>3</v>
      </c>
      <c r="F7" s="8">
        <v>3</v>
      </c>
      <c r="G7" s="8">
        <v>3</v>
      </c>
      <c r="H7" s="8">
        <v>3</v>
      </c>
      <c r="I7" s="8">
        <v>2</v>
      </c>
      <c r="J7" s="8">
        <v>2</v>
      </c>
      <c r="K7" s="8">
        <v>2</v>
      </c>
      <c r="L7" s="8">
        <v>3</v>
      </c>
      <c r="M7" s="8">
        <v>3</v>
      </c>
      <c r="N7" s="8">
        <v>2</v>
      </c>
      <c r="O7" s="8">
        <v>2</v>
      </c>
      <c r="P7" s="8">
        <v>3</v>
      </c>
      <c r="Q7" s="8">
        <v>2</v>
      </c>
      <c r="R7" s="8">
        <v>3</v>
      </c>
      <c r="S7" s="8">
        <v>2</v>
      </c>
      <c r="T7" s="8">
        <v>3</v>
      </c>
      <c r="U7" s="8"/>
      <c r="V7" s="8"/>
      <c r="W7" s="8"/>
      <c r="X7" s="17"/>
    </row>
    <row r="8" spans="1:24" ht="18" customHeight="1">
      <c r="A8" s="124"/>
      <c r="B8" s="120">
        <v>4</v>
      </c>
      <c r="C8" s="136" t="str">
        <f>ข้อมูลเด็ก!F9</f>
        <v>เด็กหญิงกรรณิการ์  คงสุดี</v>
      </c>
      <c r="D8" s="125"/>
      <c r="E8" s="8">
        <v>3</v>
      </c>
      <c r="F8" s="8">
        <v>3</v>
      </c>
      <c r="G8" s="8">
        <v>2</v>
      </c>
      <c r="H8" s="8">
        <v>2</v>
      </c>
      <c r="I8" s="8">
        <v>3</v>
      </c>
      <c r="J8" s="8">
        <v>3</v>
      </c>
      <c r="K8" s="8">
        <v>2</v>
      </c>
      <c r="L8" s="8">
        <v>3</v>
      </c>
      <c r="M8" s="8">
        <v>3</v>
      </c>
      <c r="N8" s="8">
        <v>3</v>
      </c>
      <c r="O8" s="8">
        <v>2</v>
      </c>
      <c r="P8" s="8">
        <v>2</v>
      </c>
      <c r="Q8" s="8">
        <v>3</v>
      </c>
      <c r="R8" s="8">
        <v>2</v>
      </c>
      <c r="S8" s="8">
        <v>3</v>
      </c>
      <c r="T8" s="8">
        <v>2</v>
      </c>
      <c r="U8" s="8"/>
      <c r="V8" s="8"/>
      <c r="W8" s="8"/>
      <c r="X8" s="17"/>
    </row>
    <row r="9" spans="1:24" ht="18" customHeight="1">
      <c r="A9" s="124"/>
      <c r="B9" s="120">
        <v>5</v>
      </c>
      <c r="C9" s="136" t="str">
        <f>ข้อมูลเด็ก!F10</f>
        <v>เด็กหญิงชญานิศ  พันธุเมฆ</v>
      </c>
      <c r="D9" s="125"/>
      <c r="E9" s="8">
        <v>3</v>
      </c>
      <c r="F9" s="8">
        <v>3</v>
      </c>
      <c r="G9" s="8">
        <v>2</v>
      </c>
      <c r="H9" s="8">
        <v>3</v>
      </c>
      <c r="I9" s="8">
        <v>2</v>
      </c>
      <c r="J9" s="8">
        <v>3</v>
      </c>
      <c r="K9" s="8">
        <v>2</v>
      </c>
      <c r="L9" s="8">
        <v>2</v>
      </c>
      <c r="M9" s="8">
        <v>3</v>
      </c>
      <c r="N9" s="8">
        <v>3</v>
      </c>
      <c r="O9" s="8">
        <v>3</v>
      </c>
      <c r="P9" s="8">
        <v>3</v>
      </c>
      <c r="Q9" s="8">
        <v>3</v>
      </c>
      <c r="R9" s="8">
        <v>3</v>
      </c>
      <c r="S9" s="8">
        <v>3</v>
      </c>
      <c r="T9" s="8">
        <v>2</v>
      </c>
      <c r="U9" s="8"/>
      <c r="V9" s="8"/>
      <c r="W9" s="8"/>
      <c r="X9" s="17"/>
    </row>
    <row r="10" spans="1:24" ht="18" customHeight="1">
      <c r="A10" s="124"/>
      <c r="B10" s="120">
        <v>6</v>
      </c>
      <c r="C10" s="136" t="str">
        <f>ข้อมูลเด็ก!F11</f>
        <v>เด็กหญิงปนัดดา  โพธิสุวรรณ</v>
      </c>
      <c r="D10" s="125"/>
      <c r="E10" s="8">
        <v>3</v>
      </c>
      <c r="F10" s="8">
        <v>3</v>
      </c>
      <c r="G10" s="8">
        <v>3</v>
      </c>
      <c r="H10" s="8">
        <v>2</v>
      </c>
      <c r="I10" s="8">
        <v>2</v>
      </c>
      <c r="J10" s="8">
        <v>3</v>
      </c>
      <c r="K10" s="8">
        <v>3</v>
      </c>
      <c r="L10" s="8">
        <v>3</v>
      </c>
      <c r="M10" s="8">
        <v>3</v>
      </c>
      <c r="N10" s="8">
        <v>3</v>
      </c>
      <c r="O10" s="8">
        <v>2</v>
      </c>
      <c r="P10" s="8">
        <v>2</v>
      </c>
      <c r="Q10" s="8">
        <v>3</v>
      </c>
      <c r="R10" s="8">
        <v>3</v>
      </c>
      <c r="S10" s="8">
        <v>3</v>
      </c>
      <c r="T10" s="8">
        <v>2</v>
      </c>
      <c r="U10" s="8"/>
      <c r="V10" s="8"/>
      <c r="W10" s="8"/>
      <c r="X10" s="17"/>
    </row>
    <row r="11" spans="1:24" ht="18" customHeight="1">
      <c r="A11" s="124"/>
      <c r="B11" s="120">
        <v>7</v>
      </c>
      <c r="C11" s="136" t="str">
        <f>ข้อมูลเด็ก!F12</f>
        <v>เด็กหญิงรุ่งนภา  ผดุงภักดี</v>
      </c>
      <c r="D11" s="125"/>
      <c r="E11" s="8">
        <v>3</v>
      </c>
      <c r="F11" s="8">
        <v>3</v>
      </c>
      <c r="G11" s="8">
        <v>2</v>
      </c>
      <c r="H11" s="8">
        <v>3</v>
      </c>
      <c r="I11" s="8">
        <v>2</v>
      </c>
      <c r="J11" s="8">
        <v>2</v>
      </c>
      <c r="K11" s="8">
        <v>3</v>
      </c>
      <c r="L11" s="8">
        <v>2</v>
      </c>
      <c r="M11" s="8">
        <v>2</v>
      </c>
      <c r="N11" s="8">
        <v>2</v>
      </c>
      <c r="O11" s="8">
        <v>3</v>
      </c>
      <c r="P11" s="8">
        <v>2</v>
      </c>
      <c r="Q11" s="8">
        <v>2</v>
      </c>
      <c r="R11" s="8">
        <v>3</v>
      </c>
      <c r="S11" s="8">
        <v>3</v>
      </c>
      <c r="T11" s="8">
        <v>3</v>
      </c>
      <c r="U11" s="8"/>
      <c r="V11" s="8"/>
      <c r="W11" s="8"/>
      <c r="X11" s="17"/>
    </row>
    <row r="12" spans="1:24" ht="18" customHeight="1">
      <c r="A12" s="124"/>
      <c r="B12" s="120">
        <v>8</v>
      </c>
      <c r="C12" s="136" t="str">
        <f>ข้อมูลเด็ก!F13</f>
        <v>เด็กหญิงพิมพิ์พิชชา  มะลิมาตย์</v>
      </c>
      <c r="D12" s="125"/>
      <c r="E12" s="8">
        <v>3</v>
      </c>
      <c r="F12" s="8">
        <v>2</v>
      </c>
      <c r="G12" s="8">
        <v>2</v>
      </c>
      <c r="H12" s="8">
        <v>3</v>
      </c>
      <c r="I12" s="8">
        <v>2</v>
      </c>
      <c r="J12" s="8">
        <v>3</v>
      </c>
      <c r="K12" s="8">
        <v>3</v>
      </c>
      <c r="L12" s="8">
        <v>3</v>
      </c>
      <c r="M12" s="8">
        <v>3</v>
      </c>
      <c r="N12" s="8">
        <v>2</v>
      </c>
      <c r="O12" s="8">
        <v>3</v>
      </c>
      <c r="P12" s="8">
        <v>3</v>
      </c>
      <c r="Q12" s="8">
        <v>2</v>
      </c>
      <c r="R12" s="8">
        <v>3</v>
      </c>
      <c r="S12" s="8">
        <v>3</v>
      </c>
      <c r="T12" s="8">
        <v>3</v>
      </c>
      <c r="U12" s="8"/>
      <c r="V12" s="8"/>
      <c r="W12" s="8"/>
      <c r="X12" s="17"/>
    </row>
    <row r="13" spans="1:24" ht="18" customHeight="1">
      <c r="A13" s="124"/>
      <c r="B13" s="120">
        <v>9</v>
      </c>
      <c r="C13" s="136" t="str">
        <f>ข้อมูลเด็ก!F14</f>
        <v>เด็กหญิงพิมพ์รดา  เม้าราษี</v>
      </c>
      <c r="D13" s="125"/>
      <c r="E13" s="8">
        <v>3</v>
      </c>
      <c r="F13" s="8">
        <v>3</v>
      </c>
      <c r="G13" s="8">
        <v>3</v>
      </c>
      <c r="H13" s="8">
        <v>2</v>
      </c>
      <c r="I13" s="8">
        <v>3</v>
      </c>
      <c r="J13" s="8">
        <v>3</v>
      </c>
      <c r="K13" s="8">
        <v>2</v>
      </c>
      <c r="L13" s="8">
        <v>3</v>
      </c>
      <c r="M13" s="8">
        <v>3</v>
      </c>
      <c r="N13" s="8">
        <v>3</v>
      </c>
      <c r="O13" s="8">
        <v>2</v>
      </c>
      <c r="P13" s="8">
        <v>3</v>
      </c>
      <c r="Q13" s="8">
        <v>2</v>
      </c>
      <c r="R13" s="8">
        <v>3</v>
      </c>
      <c r="S13" s="8">
        <v>3</v>
      </c>
      <c r="T13" s="8">
        <v>3</v>
      </c>
      <c r="U13" s="8"/>
      <c r="V13" s="8"/>
      <c r="W13" s="8"/>
      <c r="X13" s="17"/>
    </row>
    <row r="14" spans="1:24" ht="18" customHeight="1">
      <c r="A14" s="124"/>
      <c r="B14" s="120">
        <v>10</v>
      </c>
      <c r="C14" s="136" t="str">
        <f>ข้อมูลเด็ก!F15</f>
        <v>เด็กหญิงศศิวิมล  ธนูทอง</v>
      </c>
      <c r="D14" s="125"/>
      <c r="E14" s="8">
        <v>3</v>
      </c>
      <c r="F14" s="8">
        <v>3</v>
      </c>
      <c r="G14" s="8">
        <v>3</v>
      </c>
      <c r="H14" s="8">
        <v>3</v>
      </c>
      <c r="I14" s="8">
        <v>2</v>
      </c>
      <c r="J14" s="8">
        <v>3</v>
      </c>
      <c r="K14" s="8">
        <v>2</v>
      </c>
      <c r="L14" s="8">
        <v>2</v>
      </c>
      <c r="M14" s="8">
        <v>3</v>
      </c>
      <c r="N14" s="8">
        <v>3</v>
      </c>
      <c r="O14" s="8">
        <v>3</v>
      </c>
      <c r="P14" s="8">
        <v>3</v>
      </c>
      <c r="Q14" s="8">
        <v>3</v>
      </c>
      <c r="R14" s="8">
        <v>3</v>
      </c>
      <c r="S14" s="8">
        <v>3</v>
      </c>
      <c r="T14" s="8">
        <v>2</v>
      </c>
      <c r="U14" s="8"/>
      <c r="V14" s="8"/>
      <c r="W14" s="8"/>
      <c r="X14" s="17"/>
    </row>
    <row r="15" spans="1:24" ht="18" customHeight="1">
      <c r="A15" s="124"/>
      <c r="B15" s="120">
        <v>11</v>
      </c>
      <c r="C15" s="136" t="str">
        <f>ข้อมูลเด็ก!F16</f>
        <v>เด็กชายปัณณวิชญ์   พันธ์เดช</v>
      </c>
      <c r="D15" s="125"/>
      <c r="E15" s="8">
        <v>3</v>
      </c>
      <c r="F15" s="8">
        <v>3</v>
      </c>
      <c r="G15" s="8">
        <v>2</v>
      </c>
      <c r="H15" s="8">
        <v>3</v>
      </c>
      <c r="I15" s="8">
        <v>3</v>
      </c>
      <c r="J15" s="8">
        <v>3</v>
      </c>
      <c r="K15" s="8">
        <v>3</v>
      </c>
      <c r="L15" s="8">
        <v>3</v>
      </c>
      <c r="M15" s="8">
        <v>3</v>
      </c>
      <c r="N15" s="8">
        <v>3</v>
      </c>
      <c r="O15" s="8">
        <v>2</v>
      </c>
      <c r="P15" s="8">
        <v>2</v>
      </c>
      <c r="Q15" s="8">
        <v>3</v>
      </c>
      <c r="R15" s="8">
        <v>2</v>
      </c>
      <c r="S15" s="8">
        <v>3</v>
      </c>
      <c r="T15" s="8">
        <v>2</v>
      </c>
      <c r="U15" s="8"/>
      <c r="V15" s="8"/>
      <c r="W15" s="8"/>
      <c r="X15" s="17"/>
    </row>
    <row r="16" spans="1:24" ht="18" customHeight="1">
      <c r="A16" s="124"/>
      <c r="B16" s="120">
        <v>12</v>
      </c>
      <c r="C16" s="136" t="str">
        <f>ข้อมูลเด็ก!F17</f>
        <v>เด็กหญิงสุชาดา  ชมภูนาค</v>
      </c>
      <c r="D16" s="125"/>
      <c r="E16" s="8">
        <v>3</v>
      </c>
      <c r="F16" s="8">
        <v>2</v>
      </c>
      <c r="G16" s="8">
        <v>3</v>
      </c>
      <c r="H16" s="8">
        <v>3</v>
      </c>
      <c r="I16" s="8">
        <v>3</v>
      </c>
      <c r="J16" s="8">
        <v>3</v>
      </c>
      <c r="K16" s="8">
        <v>3</v>
      </c>
      <c r="L16" s="8">
        <v>2</v>
      </c>
      <c r="M16" s="8">
        <v>2</v>
      </c>
      <c r="N16" s="8">
        <v>2</v>
      </c>
      <c r="O16" s="8">
        <v>3</v>
      </c>
      <c r="P16" s="8">
        <v>3</v>
      </c>
      <c r="Q16" s="8">
        <v>2</v>
      </c>
      <c r="R16" s="8">
        <v>2</v>
      </c>
      <c r="S16" s="8">
        <v>3</v>
      </c>
      <c r="T16" s="8">
        <v>3</v>
      </c>
      <c r="U16" s="8"/>
      <c r="V16" s="8"/>
      <c r="W16" s="8"/>
      <c r="X16" s="17"/>
    </row>
    <row r="17" spans="1:23" ht="18" customHeight="1">
      <c r="A17" s="124"/>
      <c r="B17" s="120">
        <v>13</v>
      </c>
      <c r="C17" s="136" t="str">
        <f>ข้อมูลเด็ก!F18</f>
        <v>เด็กหญิงอริสา วรเลิศ</v>
      </c>
      <c r="D17" s="125"/>
      <c r="E17" s="8">
        <v>3</v>
      </c>
      <c r="F17" s="8">
        <v>2</v>
      </c>
      <c r="G17" s="8">
        <v>3</v>
      </c>
      <c r="H17" s="8">
        <v>3</v>
      </c>
      <c r="I17" s="8">
        <v>3</v>
      </c>
      <c r="J17" s="8">
        <v>3</v>
      </c>
      <c r="K17" s="8">
        <v>3</v>
      </c>
      <c r="L17" s="8">
        <v>2</v>
      </c>
      <c r="M17" s="8">
        <v>2</v>
      </c>
      <c r="N17" s="8">
        <v>2</v>
      </c>
      <c r="O17" s="8">
        <v>3</v>
      </c>
      <c r="P17" s="8">
        <v>3</v>
      </c>
      <c r="Q17" s="8">
        <v>2</v>
      </c>
      <c r="R17" s="8">
        <v>2</v>
      </c>
      <c r="S17" s="8">
        <v>3</v>
      </c>
      <c r="T17" s="8">
        <v>3</v>
      </c>
      <c r="U17" s="8"/>
      <c r="V17" s="8"/>
      <c r="W17" s="8"/>
    </row>
    <row r="18" spans="1:23" ht="18" customHeight="1"/>
    <row r="19" spans="1:23" ht="18" customHeight="1"/>
    <row r="20" spans="1:23" ht="18" customHeight="1"/>
    <row r="21" spans="1:23" ht="18" customHeight="1"/>
    <row r="22" spans="1:23" ht="18" customHeight="1"/>
    <row r="23" spans="1:23" ht="18" customHeight="1"/>
    <row r="24" spans="1:23" ht="18" customHeight="1"/>
    <row r="25" spans="1:23" ht="18" customHeight="1"/>
    <row r="26" spans="1:23" ht="18" customHeight="1"/>
    <row r="27" spans="1:23" ht="18" customHeight="1"/>
    <row r="28" spans="1:23" ht="18" customHeight="1"/>
    <row r="29" spans="1:23" ht="18" customHeight="1"/>
    <row r="30" spans="1:23" ht="18" customHeight="1"/>
    <row r="31" spans="1:23" ht="18" customHeight="1"/>
    <row r="32" spans="1:23" ht="18" customHeight="1"/>
  </sheetData>
  <protectedRanges>
    <protectedRange sqref="D5:D17" name="ช่วง1_1_2"/>
  </protectedRanges>
  <mergeCells count="5">
    <mergeCell ref="E2:W2"/>
    <mergeCell ref="B1:B4"/>
    <mergeCell ref="C1:C4"/>
    <mergeCell ref="D1:D3"/>
    <mergeCell ref="E1:W1"/>
  </mergeCells>
  <dataValidations count="1">
    <dataValidation type="list" allowBlank="1" showInputMessage="1" showErrorMessage="1" sqref="C5:C17" xr:uid="{5DC2AE89-96ED-412E-8DA6-3883DA294F8F}">
      <formula1>list</formula1>
    </dataValidation>
  </dataValidations>
  <pageMargins left="0" right="0.51181102362204722" top="0.39370078740157483" bottom="0" header="0.31496062992125984" footer="0.31496062992125984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W33"/>
  <sheetViews>
    <sheetView view="pageBreakPreview" topLeftCell="A11" zoomScale="90" zoomScaleNormal="100" zoomScaleSheetLayoutView="90" workbookViewId="0">
      <selection activeCell="D18" sqref="D18"/>
    </sheetView>
  </sheetViews>
  <sheetFormatPr defaultColWidth="9" defaultRowHeight="21"/>
  <cols>
    <col min="1" max="1" width="2.140625" style="16" customWidth="1"/>
    <col min="2" max="2" width="3.42578125" style="19" customWidth="1"/>
    <col min="3" max="3" width="28.7109375" style="16" customWidth="1"/>
    <col min="4" max="4" width="6.140625" style="16" customWidth="1"/>
    <col min="5" max="7" width="2.85546875" style="16" customWidth="1"/>
    <col min="8" max="8" width="2.5703125" style="16" customWidth="1"/>
    <col min="9" max="9" width="2.42578125" style="16" customWidth="1"/>
    <col min="10" max="10" width="2.85546875" style="16" customWidth="1"/>
    <col min="11" max="11" width="2.5703125" style="16" customWidth="1"/>
    <col min="12" max="16" width="2.42578125" style="16" customWidth="1"/>
    <col min="17" max="17" width="3.42578125" style="1" customWidth="1"/>
    <col min="18" max="18" width="3.5703125" style="1" customWidth="1"/>
    <col min="19" max="19" width="2.85546875" style="1" customWidth="1"/>
    <col min="20" max="20" width="3.7109375" style="1" customWidth="1"/>
    <col min="21" max="21" width="5.5703125" style="1" customWidth="1"/>
    <col min="22" max="22" width="3" style="1" customWidth="1"/>
    <col min="23" max="16384" width="9" style="16"/>
  </cols>
  <sheetData>
    <row r="1" spans="1:23" ht="23.25" customHeight="1">
      <c r="A1" s="124"/>
      <c r="B1" s="205" t="s">
        <v>56</v>
      </c>
      <c r="C1" s="207" t="s">
        <v>247</v>
      </c>
      <c r="D1" s="244" t="s">
        <v>248</v>
      </c>
      <c r="E1" s="243" t="s">
        <v>249</v>
      </c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 t="s">
        <v>252</v>
      </c>
      <c r="R1" s="243"/>
      <c r="S1" s="243"/>
      <c r="T1" s="243"/>
      <c r="U1" s="241" t="s">
        <v>21</v>
      </c>
      <c r="V1" s="241" t="s">
        <v>253</v>
      </c>
    </row>
    <row r="2" spans="1:23" ht="24" customHeight="1">
      <c r="A2" s="124"/>
      <c r="B2" s="205"/>
      <c r="C2" s="207"/>
      <c r="D2" s="244"/>
      <c r="E2" s="243" t="s">
        <v>250</v>
      </c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5" t="s">
        <v>254</v>
      </c>
      <c r="R2" s="245" t="s">
        <v>255</v>
      </c>
      <c r="S2" s="246" t="s">
        <v>256</v>
      </c>
      <c r="T2" s="246" t="s">
        <v>257</v>
      </c>
      <c r="U2" s="241"/>
      <c r="V2" s="241"/>
    </row>
    <row r="3" spans="1:23" ht="61.5" customHeight="1">
      <c r="A3" s="124"/>
      <c r="B3" s="205"/>
      <c r="C3" s="207"/>
      <c r="D3" s="24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245"/>
      <c r="R3" s="245"/>
      <c r="S3" s="246"/>
      <c r="T3" s="246"/>
      <c r="U3" s="241"/>
      <c r="V3" s="241"/>
    </row>
    <row r="4" spans="1:23" ht="19.5" customHeight="1">
      <c r="A4" s="124"/>
      <c r="B4" s="205"/>
      <c r="C4" s="207"/>
      <c r="D4" s="166" t="s">
        <v>251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66">
        <v>50</v>
      </c>
      <c r="R4" s="166">
        <v>20</v>
      </c>
      <c r="S4" s="166">
        <v>30</v>
      </c>
      <c r="T4" s="166">
        <v>100</v>
      </c>
      <c r="U4" s="241"/>
      <c r="V4" s="241"/>
    </row>
    <row r="5" spans="1:23" ht="18" customHeight="1">
      <c r="A5" s="124"/>
      <c r="B5" s="120">
        <v>1</v>
      </c>
      <c r="C5" s="136" t="str">
        <f>ข้อมูลเด็ก!F6</f>
        <v>เด็กชายปัณณวิชญ์   เปรียงพรม</v>
      </c>
      <c r="D5" s="125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129">
        <v>42</v>
      </c>
      <c r="R5" s="129">
        <v>18</v>
      </c>
      <c r="S5" s="129">
        <v>22</v>
      </c>
      <c r="T5" s="129">
        <f>SUM(Q5:S5)</f>
        <v>82</v>
      </c>
      <c r="U5" s="126">
        <f>IF(T5="","",IF(T5&gt;=80,4,IF(T5&gt;=75,3.5,IF(T5&gt;=70,3,IF(T5&gt;=65,2.5,IF(T5&gt;=60,2,IF(T5&gt;=55,1.5,IF(T5&gt;=50,1,0))))))))</f>
        <v>4</v>
      </c>
      <c r="V5" s="126"/>
      <c r="W5" s="17"/>
    </row>
    <row r="6" spans="1:23" ht="18" customHeight="1">
      <c r="A6" s="124"/>
      <c r="B6" s="120">
        <v>2</v>
      </c>
      <c r="C6" s="136" t="str">
        <f>ข้อมูลเด็ก!F7</f>
        <v>เด็กชายรัชชานนท์  เทียมกลาง</v>
      </c>
      <c r="D6" s="12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29">
        <v>40</v>
      </c>
      <c r="R6" s="129">
        <v>12</v>
      </c>
      <c r="S6" s="129">
        <v>20</v>
      </c>
      <c r="T6" s="129">
        <f t="shared" ref="T6:T16" si="0">SUM(Q6:S6)</f>
        <v>72</v>
      </c>
      <c r="U6" s="126">
        <f t="shared" ref="U6:U16" si="1">IF(T6="","",IF(T6&gt;=80,4,IF(T6&gt;=75,3.5,IF(T6&gt;=70,3,IF(T6&gt;=65,2.5,IF(T6&gt;=60,2,IF(T6&gt;=55,1.5,IF(T6&gt;=50,1,0))))))))</f>
        <v>3</v>
      </c>
      <c r="V6" s="126"/>
      <c r="W6" s="17"/>
    </row>
    <row r="7" spans="1:23" ht="18" customHeight="1">
      <c r="A7" s="124"/>
      <c r="B7" s="120">
        <v>3</v>
      </c>
      <c r="C7" s="136" t="str">
        <f>ข้อมูลเด็ก!F8</f>
        <v>เด็กชายรณกฤต  สองเมือง</v>
      </c>
      <c r="D7" s="12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29">
        <v>35</v>
      </c>
      <c r="R7" s="129">
        <v>15</v>
      </c>
      <c r="S7" s="129">
        <v>20</v>
      </c>
      <c r="T7" s="129">
        <f t="shared" si="0"/>
        <v>70</v>
      </c>
      <c r="U7" s="126">
        <f t="shared" si="1"/>
        <v>3</v>
      </c>
      <c r="V7" s="126"/>
      <c r="W7" s="17"/>
    </row>
    <row r="8" spans="1:23" ht="18" customHeight="1">
      <c r="A8" s="124"/>
      <c r="B8" s="120">
        <v>4</v>
      </c>
      <c r="C8" s="136" t="str">
        <f>ข้อมูลเด็ก!F9</f>
        <v>เด็กหญิงกรรณิการ์  คงสุดี</v>
      </c>
      <c r="D8" s="12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29">
        <v>40</v>
      </c>
      <c r="R8" s="129">
        <v>19</v>
      </c>
      <c r="S8" s="129">
        <v>23</v>
      </c>
      <c r="T8" s="129">
        <f t="shared" si="0"/>
        <v>82</v>
      </c>
      <c r="U8" s="126">
        <f t="shared" si="1"/>
        <v>4</v>
      </c>
      <c r="V8" s="126"/>
      <c r="W8" s="17"/>
    </row>
    <row r="9" spans="1:23" ht="18" customHeight="1">
      <c r="A9" s="124"/>
      <c r="B9" s="120">
        <v>5</v>
      </c>
      <c r="C9" s="136" t="str">
        <f>ข้อมูลเด็ก!F10</f>
        <v>เด็กหญิงชญานิศ  พันธุเมฆ</v>
      </c>
      <c r="D9" s="12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29">
        <v>35</v>
      </c>
      <c r="R9" s="129">
        <v>15</v>
      </c>
      <c r="S9" s="129">
        <v>20</v>
      </c>
      <c r="T9" s="129">
        <f t="shared" si="0"/>
        <v>70</v>
      </c>
      <c r="U9" s="126">
        <f t="shared" si="1"/>
        <v>3</v>
      </c>
      <c r="V9" s="126"/>
      <c r="W9" s="17"/>
    </row>
    <row r="10" spans="1:23" ht="18" customHeight="1">
      <c r="A10" s="124"/>
      <c r="B10" s="120">
        <v>6</v>
      </c>
      <c r="C10" s="136" t="str">
        <f>ข้อมูลเด็ก!F11</f>
        <v>เด็กหญิงปนัดดา  โพธิสุวรรณ</v>
      </c>
      <c r="D10" s="12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29">
        <v>47</v>
      </c>
      <c r="R10" s="129">
        <v>17</v>
      </c>
      <c r="S10" s="129">
        <v>18</v>
      </c>
      <c r="T10" s="129">
        <f t="shared" si="0"/>
        <v>82</v>
      </c>
      <c r="U10" s="126">
        <f t="shared" si="1"/>
        <v>4</v>
      </c>
      <c r="V10" s="126"/>
      <c r="W10" s="17"/>
    </row>
    <row r="11" spans="1:23" ht="18" customHeight="1">
      <c r="A11" s="124"/>
      <c r="B11" s="120">
        <v>7</v>
      </c>
      <c r="C11" s="136" t="str">
        <f>ข้อมูลเด็ก!F12</f>
        <v>เด็กหญิงรุ่งนภา  ผดุงภักดี</v>
      </c>
      <c r="D11" s="12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29">
        <v>43</v>
      </c>
      <c r="R11" s="129">
        <v>18</v>
      </c>
      <c r="S11" s="129">
        <v>22</v>
      </c>
      <c r="T11" s="129">
        <f t="shared" si="0"/>
        <v>83</v>
      </c>
      <c r="U11" s="126">
        <f t="shared" si="1"/>
        <v>4</v>
      </c>
      <c r="V11" s="126"/>
      <c r="W11" s="17"/>
    </row>
    <row r="12" spans="1:23" ht="18" customHeight="1">
      <c r="A12" s="124"/>
      <c r="B12" s="120">
        <v>8</v>
      </c>
      <c r="C12" s="136" t="str">
        <f>ข้อมูลเด็ก!F13</f>
        <v>เด็กหญิงพิมพิ์พิชชา  มะลิมาตย์</v>
      </c>
      <c r="D12" s="12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29">
        <v>44</v>
      </c>
      <c r="R12" s="129">
        <v>16</v>
      </c>
      <c r="S12" s="129">
        <v>20</v>
      </c>
      <c r="T12" s="129">
        <f t="shared" si="0"/>
        <v>80</v>
      </c>
      <c r="U12" s="126">
        <f t="shared" si="1"/>
        <v>4</v>
      </c>
      <c r="V12" s="126"/>
      <c r="W12" s="17"/>
    </row>
    <row r="13" spans="1:23" ht="18" customHeight="1">
      <c r="A13" s="124"/>
      <c r="B13" s="120">
        <v>9</v>
      </c>
      <c r="C13" s="136" t="str">
        <f>ข้อมูลเด็ก!F14</f>
        <v>เด็กหญิงพิมพ์รดา  เม้าราษี</v>
      </c>
      <c r="D13" s="12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29">
        <v>37</v>
      </c>
      <c r="R13" s="129">
        <v>15</v>
      </c>
      <c r="S13" s="129">
        <v>23</v>
      </c>
      <c r="T13" s="129">
        <f t="shared" si="0"/>
        <v>75</v>
      </c>
      <c r="U13" s="126">
        <f>IF(T13="","",IF(T13&gt;=80,4,IF(T13&gt;=75,3.5,IF(T13&gt;=70,3,IF(T13&gt;=65,2.5,IF(T13&gt;=60,2,IF(T13&gt;=55,1.5,IF(T13&gt;=50,1,0))))))))</f>
        <v>3.5</v>
      </c>
      <c r="V13" s="126"/>
      <c r="W13" s="17"/>
    </row>
    <row r="14" spans="1:23" ht="18" customHeight="1">
      <c r="A14" s="124"/>
      <c r="B14" s="120">
        <v>10</v>
      </c>
      <c r="C14" s="136" t="str">
        <f>ข้อมูลเด็ก!F15</f>
        <v>เด็กหญิงศศิวิมล  ธนูทอง</v>
      </c>
      <c r="D14" s="12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29">
        <v>39</v>
      </c>
      <c r="R14" s="129">
        <v>18</v>
      </c>
      <c r="S14" s="129">
        <v>20</v>
      </c>
      <c r="T14" s="129">
        <f t="shared" si="0"/>
        <v>77</v>
      </c>
      <c r="U14" s="126">
        <f t="shared" si="1"/>
        <v>3.5</v>
      </c>
      <c r="V14" s="126"/>
      <c r="W14" s="17"/>
    </row>
    <row r="15" spans="1:23" ht="18" customHeight="1">
      <c r="A15" s="124"/>
      <c r="B15" s="120">
        <v>11</v>
      </c>
      <c r="C15" s="136" t="str">
        <f>ข้อมูลเด็ก!F16</f>
        <v>เด็กชายปัณณวิชญ์   พันธ์เดช</v>
      </c>
      <c r="D15" s="12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29">
        <v>47</v>
      </c>
      <c r="R15" s="129">
        <v>18</v>
      </c>
      <c r="S15" s="129">
        <v>21</v>
      </c>
      <c r="T15" s="129">
        <f t="shared" si="0"/>
        <v>86</v>
      </c>
      <c r="U15" s="126">
        <f t="shared" si="1"/>
        <v>4</v>
      </c>
      <c r="V15" s="126"/>
      <c r="W15" s="17"/>
    </row>
    <row r="16" spans="1:23" ht="18" customHeight="1">
      <c r="A16" s="124"/>
      <c r="B16" s="120">
        <v>12</v>
      </c>
      <c r="C16" s="136" t="str">
        <f>ข้อมูลเด็ก!F17</f>
        <v>เด็กหญิงสุชาดา  ชมภูนาค</v>
      </c>
      <c r="D16" s="12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29">
        <v>37</v>
      </c>
      <c r="R16" s="129">
        <v>15</v>
      </c>
      <c r="S16" s="129">
        <v>22</v>
      </c>
      <c r="T16" s="129">
        <f t="shared" si="0"/>
        <v>74</v>
      </c>
      <c r="U16" s="126">
        <f t="shared" si="1"/>
        <v>3</v>
      </c>
      <c r="V16" s="126"/>
      <c r="W16" s="17"/>
    </row>
    <row r="17" spans="1:22" ht="18" customHeight="1">
      <c r="A17" s="124"/>
      <c r="B17" s="120">
        <v>13</v>
      </c>
      <c r="C17" s="136" t="str">
        <f>ข้อมูลเด็ก!F18</f>
        <v>เด็กหญิงอริสา วรเลิศ</v>
      </c>
      <c r="D17" s="12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29">
        <v>47</v>
      </c>
      <c r="R17" s="129">
        <v>15</v>
      </c>
      <c r="S17" s="129">
        <v>12</v>
      </c>
      <c r="T17" s="129">
        <f t="shared" ref="T17" si="2">SUM(Q17:S17)</f>
        <v>74</v>
      </c>
      <c r="U17" s="126">
        <f t="shared" ref="U17" si="3">IF(T17="","",IF(T17&gt;=80,4,IF(T17&gt;=75,3.5,IF(T17&gt;=70,3,IF(T17&gt;=65,2.5,IF(T17&gt;=60,2,IF(T17&gt;=55,1.5,IF(T17&gt;=50,1,0))))))))</f>
        <v>3</v>
      </c>
      <c r="V17" s="126"/>
    </row>
    <row r="18" spans="1:22" ht="18" customHeight="1"/>
    <row r="19" spans="1:22" ht="18" customHeight="1"/>
    <row r="20" spans="1:22" ht="18" customHeight="1"/>
    <row r="21" spans="1:22" ht="18" customHeight="1"/>
    <row r="22" spans="1:22" ht="18" customHeight="1"/>
    <row r="23" spans="1:22" ht="18" customHeight="1"/>
    <row r="24" spans="1:22" ht="18" customHeight="1"/>
    <row r="25" spans="1:22" ht="18" customHeight="1"/>
    <row r="26" spans="1:22" ht="18" customHeight="1"/>
    <row r="27" spans="1:22" ht="18" customHeight="1"/>
    <row r="28" spans="1:22" ht="18" customHeight="1"/>
    <row r="29" spans="1:22" ht="18" customHeight="1"/>
    <row r="30" spans="1:22" ht="18" customHeight="1"/>
    <row r="31" spans="1:22" ht="18" customHeight="1"/>
    <row r="32" spans="1:22" ht="18" customHeight="1"/>
    <row r="33" ht="18" customHeight="1"/>
  </sheetData>
  <protectedRanges>
    <protectedRange sqref="S4:S17" name="ช่วง1_2"/>
  </protectedRanges>
  <mergeCells count="12">
    <mergeCell ref="E2:P2"/>
    <mergeCell ref="C1:C4"/>
    <mergeCell ref="B1:B4"/>
    <mergeCell ref="Q1:T1"/>
    <mergeCell ref="E1:P1"/>
    <mergeCell ref="D1:D3"/>
    <mergeCell ref="Q2:Q3"/>
    <mergeCell ref="U1:U4"/>
    <mergeCell ref="V1:V4"/>
    <mergeCell ref="R2:R3"/>
    <mergeCell ref="S2:S3"/>
    <mergeCell ref="T2:T3"/>
  </mergeCells>
  <dataValidations count="1">
    <dataValidation type="list" allowBlank="1" showInputMessage="1" showErrorMessage="1" sqref="C5:C17" xr:uid="{75D244DA-D604-443D-9487-909EC0C6AEBF}">
      <formula1>list</formula1>
    </dataValidation>
  </dataValidations>
  <printOptions horizontalCentered="1"/>
  <pageMargins left="0.511811023622047" right="0.511811023622047" top="0.6" bottom="0" header="0.31496062992126" footer="0.31496062992126"/>
  <pageSetup paperSize="9" scale="98" orientation="portrait" r:id="rId1"/>
  <headerFooter>
    <oddHeader>&amp;F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I33"/>
  <sheetViews>
    <sheetView topLeftCell="A28" zoomScaleNormal="100" workbookViewId="0"/>
  </sheetViews>
  <sheetFormatPr defaultColWidth="9" defaultRowHeight="21"/>
  <cols>
    <col min="1" max="1" width="2.5703125" style="2" customWidth="1"/>
    <col min="2" max="16384" width="9" style="2"/>
  </cols>
  <sheetData>
    <row r="2" spans="2:9">
      <c r="B2" s="228" t="s">
        <v>258</v>
      </c>
      <c r="C2" s="228"/>
      <c r="D2" s="228"/>
      <c r="E2" s="228"/>
      <c r="F2" s="228"/>
      <c r="G2" s="228"/>
      <c r="H2" s="228"/>
      <c r="I2" s="228"/>
    </row>
    <row r="3" spans="2:9">
      <c r="B3" s="102"/>
      <c r="C3" s="102"/>
      <c r="D3" s="102"/>
      <c r="E3" s="102"/>
      <c r="F3" s="102"/>
      <c r="G3" s="102"/>
      <c r="H3" s="102"/>
      <c r="I3" s="102"/>
    </row>
    <row r="5" spans="2:9">
      <c r="B5" s="103"/>
      <c r="C5" s="103"/>
      <c r="D5" s="103"/>
      <c r="E5" s="103"/>
      <c r="F5" s="103"/>
      <c r="G5" s="103"/>
      <c r="H5" s="103"/>
      <c r="I5" s="103"/>
    </row>
    <row r="7" spans="2:9">
      <c r="B7" s="103"/>
      <c r="C7" s="103"/>
      <c r="D7" s="103"/>
      <c r="E7" s="103"/>
      <c r="F7" s="103"/>
      <c r="G7" s="103"/>
      <c r="H7" s="103"/>
      <c r="I7" s="103"/>
    </row>
    <row r="9" spans="2:9">
      <c r="B9" s="103"/>
      <c r="C9" s="103"/>
      <c r="D9" s="103"/>
      <c r="E9" s="103"/>
      <c r="F9" s="103"/>
      <c r="G9" s="103"/>
      <c r="H9" s="103"/>
      <c r="I9" s="103"/>
    </row>
    <row r="11" spans="2:9">
      <c r="B11" s="103"/>
      <c r="C11" s="103"/>
      <c r="D11" s="103"/>
      <c r="E11" s="103"/>
      <c r="F11" s="103"/>
      <c r="G11" s="103"/>
      <c r="H11" s="103"/>
      <c r="I11" s="103"/>
    </row>
    <row r="13" spans="2:9">
      <c r="B13" s="103"/>
      <c r="C13" s="103"/>
      <c r="D13" s="103"/>
      <c r="E13" s="103"/>
      <c r="F13" s="103"/>
      <c r="G13" s="103"/>
      <c r="H13" s="103"/>
      <c r="I13" s="103"/>
    </row>
    <row r="15" spans="2:9">
      <c r="B15" s="103"/>
      <c r="C15" s="103"/>
      <c r="D15" s="103"/>
      <c r="E15" s="103"/>
      <c r="F15" s="103"/>
      <c r="G15" s="103"/>
      <c r="H15" s="103"/>
      <c r="I15" s="103"/>
    </row>
    <row r="17" spans="2:9">
      <c r="B17" s="103"/>
      <c r="C17" s="103"/>
      <c r="D17" s="103"/>
      <c r="E17" s="103"/>
      <c r="F17" s="103"/>
      <c r="G17" s="103"/>
      <c r="H17" s="103"/>
      <c r="I17" s="103"/>
    </row>
    <row r="19" spans="2:9">
      <c r="B19" s="103"/>
      <c r="C19" s="103"/>
      <c r="D19" s="103"/>
      <c r="E19" s="103"/>
      <c r="F19" s="103"/>
      <c r="G19" s="103"/>
      <c r="H19" s="103"/>
      <c r="I19" s="103"/>
    </row>
    <row r="21" spans="2:9">
      <c r="B21" s="103"/>
      <c r="C21" s="103"/>
      <c r="D21" s="103"/>
      <c r="E21" s="103"/>
      <c r="F21" s="103"/>
      <c r="G21" s="103"/>
      <c r="H21" s="103"/>
      <c r="I21" s="103"/>
    </row>
    <row r="23" spans="2:9">
      <c r="B23" s="103"/>
      <c r="C23" s="103"/>
      <c r="D23" s="103"/>
      <c r="E23" s="103"/>
      <c r="F23" s="103"/>
      <c r="G23" s="103"/>
      <c r="H23" s="103"/>
      <c r="I23" s="103"/>
    </row>
    <row r="25" spans="2:9">
      <c r="B25" s="103"/>
      <c r="C25" s="103"/>
      <c r="D25" s="103"/>
      <c r="E25" s="103"/>
      <c r="F25" s="103"/>
      <c r="G25" s="103"/>
      <c r="H25" s="103"/>
      <c r="I25" s="103"/>
    </row>
    <row r="27" spans="2:9">
      <c r="B27" s="103"/>
      <c r="C27" s="103"/>
      <c r="D27" s="103"/>
      <c r="E27" s="103"/>
      <c r="F27" s="103"/>
      <c r="G27" s="103"/>
      <c r="H27" s="103"/>
      <c r="I27" s="103"/>
    </row>
    <row r="29" spans="2:9">
      <c r="B29" s="103"/>
      <c r="C29" s="103"/>
      <c r="D29" s="103"/>
      <c r="E29" s="103"/>
      <c r="F29" s="103"/>
      <c r="G29" s="103"/>
      <c r="H29" s="103"/>
      <c r="I29" s="103"/>
    </row>
    <row r="31" spans="2:9">
      <c r="B31" s="103"/>
      <c r="C31" s="103"/>
      <c r="D31" s="103"/>
      <c r="E31" s="103"/>
      <c r="F31" s="103"/>
      <c r="G31" s="103"/>
      <c r="H31" s="103"/>
      <c r="I31" s="103"/>
    </row>
    <row r="33" spans="2:9">
      <c r="B33" s="103"/>
      <c r="C33" s="103"/>
      <c r="D33" s="103"/>
      <c r="E33" s="103"/>
      <c r="F33" s="103"/>
      <c r="G33" s="103"/>
      <c r="H33" s="103"/>
      <c r="I33" s="103"/>
    </row>
  </sheetData>
  <mergeCells count="1">
    <mergeCell ref="B2:I2"/>
  </mergeCells>
  <printOptions horizontalCentered="1"/>
  <pageMargins left="0.51181102362204722" right="0.11811023622047245" top="0.39370078740157483" bottom="0" header="0.31496062992125984" footer="0.31496062992125984"/>
  <pageSetup paperSize="9" orientation="portrait" horizont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L48"/>
  <sheetViews>
    <sheetView topLeftCell="O7" zoomScale="70" zoomScaleNormal="70" workbookViewId="0">
      <selection activeCell="AG1" sqref="AG1:AP37"/>
    </sheetView>
  </sheetViews>
  <sheetFormatPr defaultColWidth="9" defaultRowHeight="21"/>
  <cols>
    <col min="1" max="1" width="6.5703125" style="36" customWidth="1"/>
    <col min="2" max="4" width="8" style="36" customWidth="1"/>
    <col min="5" max="5" width="10.28515625" style="36" customWidth="1"/>
    <col min="6" max="6" width="8" style="36" customWidth="1"/>
    <col min="7" max="7" width="7.42578125" style="36" customWidth="1"/>
    <col min="8" max="8" width="8" style="36" customWidth="1"/>
    <col min="9" max="9" width="8.5703125" style="36" customWidth="1"/>
    <col min="10" max="10" width="8.85546875" style="36" customWidth="1"/>
    <col min="11" max="12" width="8" style="36" customWidth="1"/>
    <col min="13" max="13" width="1.85546875" style="36" customWidth="1"/>
    <col min="14" max="256" width="9" style="36"/>
    <col min="257" max="257" width="2.7109375" style="36" customWidth="1"/>
    <col min="258" max="262" width="8" style="36" customWidth="1"/>
    <col min="263" max="263" width="7.42578125" style="36" customWidth="1"/>
    <col min="264" max="264" width="8" style="36" customWidth="1"/>
    <col min="265" max="265" width="8.28515625" style="36" customWidth="1"/>
    <col min="266" max="266" width="8.85546875" style="36" customWidth="1"/>
    <col min="267" max="268" width="8" style="36" customWidth="1"/>
    <col min="269" max="269" width="1.85546875" style="36" customWidth="1"/>
    <col min="270" max="512" width="9" style="36"/>
    <col min="513" max="513" width="2.7109375" style="36" customWidth="1"/>
    <col min="514" max="518" width="8" style="36" customWidth="1"/>
    <col min="519" max="519" width="7.42578125" style="36" customWidth="1"/>
    <col min="520" max="520" width="8" style="36" customWidth="1"/>
    <col min="521" max="521" width="8.28515625" style="36" customWidth="1"/>
    <col min="522" max="522" width="8.85546875" style="36" customWidth="1"/>
    <col min="523" max="524" width="8" style="36" customWidth="1"/>
    <col min="525" max="525" width="1.85546875" style="36" customWidth="1"/>
    <col min="526" max="768" width="9" style="36"/>
    <col min="769" max="769" width="2.7109375" style="36" customWidth="1"/>
    <col min="770" max="774" width="8" style="36" customWidth="1"/>
    <col min="775" max="775" width="7.42578125" style="36" customWidth="1"/>
    <col min="776" max="776" width="8" style="36" customWidth="1"/>
    <col min="777" max="777" width="8.28515625" style="36" customWidth="1"/>
    <col min="778" max="778" width="8.85546875" style="36" customWidth="1"/>
    <col min="779" max="780" width="8" style="36" customWidth="1"/>
    <col min="781" max="781" width="1.85546875" style="36" customWidth="1"/>
    <col min="782" max="1024" width="9" style="36"/>
    <col min="1025" max="1025" width="2.7109375" style="36" customWidth="1"/>
    <col min="1026" max="1030" width="8" style="36" customWidth="1"/>
    <col min="1031" max="1031" width="7.42578125" style="36" customWidth="1"/>
    <col min="1032" max="1032" width="8" style="36" customWidth="1"/>
    <col min="1033" max="1033" width="8.28515625" style="36" customWidth="1"/>
    <col min="1034" max="1034" width="8.85546875" style="36" customWidth="1"/>
    <col min="1035" max="1036" width="8" style="36" customWidth="1"/>
    <col min="1037" max="1037" width="1.85546875" style="36" customWidth="1"/>
    <col min="1038" max="1280" width="9" style="36"/>
    <col min="1281" max="1281" width="2.7109375" style="36" customWidth="1"/>
    <col min="1282" max="1286" width="8" style="36" customWidth="1"/>
    <col min="1287" max="1287" width="7.42578125" style="36" customWidth="1"/>
    <col min="1288" max="1288" width="8" style="36" customWidth="1"/>
    <col min="1289" max="1289" width="8.28515625" style="36" customWidth="1"/>
    <col min="1290" max="1290" width="8.85546875" style="36" customWidth="1"/>
    <col min="1291" max="1292" width="8" style="36" customWidth="1"/>
    <col min="1293" max="1293" width="1.85546875" style="36" customWidth="1"/>
    <col min="1294" max="1536" width="9" style="36"/>
    <col min="1537" max="1537" width="2.7109375" style="36" customWidth="1"/>
    <col min="1538" max="1542" width="8" style="36" customWidth="1"/>
    <col min="1543" max="1543" width="7.42578125" style="36" customWidth="1"/>
    <col min="1544" max="1544" width="8" style="36" customWidth="1"/>
    <col min="1545" max="1545" width="8.28515625" style="36" customWidth="1"/>
    <col min="1546" max="1546" width="8.85546875" style="36" customWidth="1"/>
    <col min="1547" max="1548" width="8" style="36" customWidth="1"/>
    <col min="1549" max="1549" width="1.85546875" style="36" customWidth="1"/>
    <col min="1550" max="1792" width="9" style="36"/>
    <col min="1793" max="1793" width="2.7109375" style="36" customWidth="1"/>
    <col min="1794" max="1798" width="8" style="36" customWidth="1"/>
    <col min="1799" max="1799" width="7.42578125" style="36" customWidth="1"/>
    <col min="1800" max="1800" width="8" style="36" customWidth="1"/>
    <col min="1801" max="1801" width="8.28515625" style="36" customWidth="1"/>
    <col min="1802" max="1802" width="8.85546875" style="36" customWidth="1"/>
    <col min="1803" max="1804" width="8" style="36" customWidth="1"/>
    <col min="1805" max="1805" width="1.85546875" style="36" customWidth="1"/>
    <col min="1806" max="2048" width="9" style="36"/>
    <col min="2049" max="2049" width="2.7109375" style="36" customWidth="1"/>
    <col min="2050" max="2054" width="8" style="36" customWidth="1"/>
    <col min="2055" max="2055" width="7.42578125" style="36" customWidth="1"/>
    <col min="2056" max="2056" width="8" style="36" customWidth="1"/>
    <col min="2057" max="2057" width="8.28515625" style="36" customWidth="1"/>
    <col min="2058" max="2058" width="8.85546875" style="36" customWidth="1"/>
    <col min="2059" max="2060" width="8" style="36" customWidth="1"/>
    <col min="2061" max="2061" width="1.85546875" style="36" customWidth="1"/>
    <col min="2062" max="2304" width="9" style="36"/>
    <col min="2305" max="2305" width="2.7109375" style="36" customWidth="1"/>
    <col min="2306" max="2310" width="8" style="36" customWidth="1"/>
    <col min="2311" max="2311" width="7.42578125" style="36" customWidth="1"/>
    <col min="2312" max="2312" width="8" style="36" customWidth="1"/>
    <col min="2313" max="2313" width="8.28515625" style="36" customWidth="1"/>
    <col min="2314" max="2314" width="8.85546875" style="36" customWidth="1"/>
    <col min="2315" max="2316" width="8" style="36" customWidth="1"/>
    <col min="2317" max="2317" width="1.85546875" style="36" customWidth="1"/>
    <col min="2318" max="2560" width="9" style="36"/>
    <col min="2561" max="2561" width="2.7109375" style="36" customWidth="1"/>
    <col min="2562" max="2566" width="8" style="36" customWidth="1"/>
    <col min="2567" max="2567" width="7.42578125" style="36" customWidth="1"/>
    <col min="2568" max="2568" width="8" style="36" customWidth="1"/>
    <col min="2569" max="2569" width="8.28515625" style="36" customWidth="1"/>
    <col min="2570" max="2570" width="8.85546875" style="36" customWidth="1"/>
    <col min="2571" max="2572" width="8" style="36" customWidth="1"/>
    <col min="2573" max="2573" width="1.85546875" style="36" customWidth="1"/>
    <col min="2574" max="2816" width="9" style="36"/>
    <col min="2817" max="2817" width="2.7109375" style="36" customWidth="1"/>
    <col min="2818" max="2822" width="8" style="36" customWidth="1"/>
    <col min="2823" max="2823" width="7.42578125" style="36" customWidth="1"/>
    <col min="2824" max="2824" width="8" style="36" customWidth="1"/>
    <col min="2825" max="2825" width="8.28515625" style="36" customWidth="1"/>
    <col min="2826" max="2826" width="8.85546875" style="36" customWidth="1"/>
    <col min="2827" max="2828" width="8" style="36" customWidth="1"/>
    <col min="2829" max="2829" width="1.85546875" style="36" customWidth="1"/>
    <col min="2830" max="3072" width="9" style="36"/>
    <col min="3073" max="3073" width="2.7109375" style="36" customWidth="1"/>
    <col min="3074" max="3078" width="8" style="36" customWidth="1"/>
    <col min="3079" max="3079" width="7.42578125" style="36" customWidth="1"/>
    <col min="3080" max="3080" width="8" style="36" customWidth="1"/>
    <col min="3081" max="3081" width="8.28515625" style="36" customWidth="1"/>
    <col min="3082" max="3082" width="8.85546875" style="36" customWidth="1"/>
    <col min="3083" max="3084" width="8" style="36" customWidth="1"/>
    <col min="3085" max="3085" width="1.85546875" style="36" customWidth="1"/>
    <col min="3086" max="3328" width="9" style="36"/>
    <col min="3329" max="3329" width="2.7109375" style="36" customWidth="1"/>
    <col min="3330" max="3334" width="8" style="36" customWidth="1"/>
    <col min="3335" max="3335" width="7.42578125" style="36" customWidth="1"/>
    <col min="3336" max="3336" width="8" style="36" customWidth="1"/>
    <col min="3337" max="3337" width="8.28515625" style="36" customWidth="1"/>
    <col min="3338" max="3338" width="8.85546875" style="36" customWidth="1"/>
    <col min="3339" max="3340" width="8" style="36" customWidth="1"/>
    <col min="3341" max="3341" width="1.85546875" style="36" customWidth="1"/>
    <col min="3342" max="3584" width="9" style="36"/>
    <col min="3585" max="3585" width="2.7109375" style="36" customWidth="1"/>
    <col min="3586" max="3590" width="8" style="36" customWidth="1"/>
    <col min="3591" max="3591" width="7.42578125" style="36" customWidth="1"/>
    <col min="3592" max="3592" width="8" style="36" customWidth="1"/>
    <col min="3593" max="3593" width="8.28515625" style="36" customWidth="1"/>
    <col min="3594" max="3594" width="8.85546875" style="36" customWidth="1"/>
    <col min="3595" max="3596" width="8" style="36" customWidth="1"/>
    <col min="3597" max="3597" width="1.85546875" style="36" customWidth="1"/>
    <col min="3598" max="3840" width="9" style="36"/>
    <col min="3841" max="3841" width="2.7109375" style="36" customWidth="1"/>
    <col min="3842" max="3846" width="8" style="36" customWidth="1"/>
    <col min="3847" max="3847" width="7.42578125" style="36" customWidth="1"/>
    <col min="3848" max="3848" width="8" style="36" customWidth="1"/>
    <col min="3849" max="3849" width="8.28515625" style="36" customWidth="1"/>
    <col min="3850" max="3850" width="8.85546875" style="36" customWidth="1"/>
    <col min="3851" max="3852" width="8" style="36" customWidth="1"/>
    <col min="3853" max="3853" width="1.85546875" style="36" customWidth="1"/>
    <col min="3854" max="4096" width="9" style="36"/>
    <col min="4097" max="4097" width="2.7109375" style="36" customWidth="1"/>
    <col min="4098" max="4102" width="8" style="36" customWidth="1"/>
    <col min="4103" max="4103" width="7.42578125" style="36" customWidth="1"/>
    <col min="4104" max="4104" width="8" style="36" customWidth="1"/>
    <col min="4105" max="4105" width="8.28515625" style="36" customWidth="1"/>
    <col min="4106" max="4106" width="8.85546875" style="36" customWidth="1"/>
    <col min="4107" max="4108" width="8" style="36" customWidth="1"/>
    <col min="4109" max="4109" width="1.85546875" style="36" customWidth="1"/>
    <col min="4110" max="4352" width="9" style="36"/>
    <col min="4353" max="4353" width="2.7109375" style="36" customWidth="1"/>
    <col min="4354" max="4358" width="8" style="36" customWidth="1"/>
    <col min="4359" max="4359" width="7.42578125" style="36" customWidth="1"/>
    <col min="4360" max="4360" width="8" style="36" customWidth="1"/>
    <col min="4361" max="4361" width="8.28515625" style="36" customWidth="1"/>
    <col min="4362" max="4362" width="8.85546875" style="36" customWidth="1"/>
    <col min="4363" max="4364" width="8" style="36" customWidth="1"/>
    <col min="4365" max="4365" width="1.85546875" style="36" customWidth="1"/>
    <col min="4366" max="4608" width="9" style="36"/>
    <col min="4609" max="4609" width="2.7109375" style="36" customWidth="1"/>
    <col min="4610" max="4614" width="8" style="36" customWidth="1"/>
    <col min="4615" max="4615" width="7.42578125" style="36" customWidth="1"/>
    <col min="4616" max="4616" width="8" style="36" customWidth="1"/>
    <col min="4617" max="4617" width="8.28515625" style="36" customWidth="1"/>
    <col min="4618" max="4618" width="8.85546875" style="36" customWidth="1"/>
    <col min="4619" max="4620" width="8" style="36" customWidth="1"/>
    <col min="4621" max="4621" width="1.85546875" style="36" customWidth="1"/>
    <col min="4622" max="4864" width="9" style="36"/>
    <col min="4865" max="4865" width="2.7109375" style="36" customWidth="1"/>
    <col min="4866" max="4870" width="8" style="36" customWidth="1"/>
    <col min="4871" max="4871" width="7.42578125" style="36" customWidth="1"/>
    <col min="4872" max="4872" width="8" style="36" customWidth="1"/>
    <col min="4873" max="4873" width="8.28515625" style="36" customWidth="1"/>
    <col min="4874" max="4874" width="8.85546875" style="36" customWidth="1"/>
    <col min="4875" max="4876" width="8" style="36" customWidth="1"/>
    <col min="4877" max="4877" width="1.85546875" style="36" customWidth="1"/>
    <col min="4878" max="5120" width="9" style="36"/>
    <col min="5121" max="5121" width="2.7109375" style="36" customWidth="1"/>
    <col min="5122" max="5126" width="8" style="36" customWidth="1"/>
    <col min="5127" max="5127" width="7.42578125" style="36" customWidth="1"/>
    <col min="5128" max="5128" width="8" style="36" customWidth="1"/>
    <col min="5129" max="5129" width="8.28515625" style="36" customWidth="1"/>
    <col min="5130" max="5130" width="8.85546875" style="36" customWidth="1"/>
    <col min="5131" max="5132" width="8" style="36" customWidth="1"/>
    <col min="5133" max="5133" width="1.85546875" style="36" customWidth="1"/>
    <col min="5134" max="5376" width="9" style="36"/>
    <col min="5377" max="5377" width="2.7109375" style="36" customWidth="1"/>
    <col min="5378" max="5382" width="8" style="36" customWidth="1"/>
    <col min="5383" max="5383" width="7.42578125" style="36" customWidth="1"/>
    <col min="5384" max="5384" width="8" style="36" customWidth="1"/>
    <col min="5385" max="5385" width="8.28515625" style="36" customWidth="1"/>
    <col min="5386" max="5386" width="8.85546875" style="36" customWidth="1"/>
    <col min="5387" max="5388" width="8" style="36" customWidth="1"/>
    <col min="5389" max="5389" width="1.85546875" style="36" customWidth="1"/>
    <col min="5390" max="5632" width="9" style="36"/>
    <col min="5633" max="5633" width="2.7109375" style="36" customWidth="1"/>
    <col min="5634" max="5638" width="8" style="36" customWidth="1"/>
    <col min="5639" max="5639" width="7.42578125" style="36" customWidth="1"/>
    <col min="5640" max="5640" width="8" style="36" customWidth="1"/>
    <col min="5641" max="5641" width="8.28515625" style="36" customWidth="1"/>
    <col min="5642" max="5642" width="8.85546875" style="36" customWidth="1"/>
    <col min="5643" max="5644" width="8" style="36" customWidth="1"/>
    <col min="5645" max="5645" width="1.85546875" style="36" customWidth="1"/>
    <col min="5646" max="5888" width="9" style="36"/>
    <col min="5889" max="5889" width="2.7109375" style="36" customWidth="1"/>
    <col min="5890" max="5894" width="8" style="36" customWidth="1"/>
    <col min="5895" max="5895" width="7.42578125" style="36" customWidth="1"/>
    <col min="5896" max="5896" width="8" style="36" customWidth="1"/>
    <col min="5897" max="5897" width="8.28515625" style="36" customWidth="1"/>
    <col min="5898" max="5898" width="8.85546875" style="36" customWidth="1"/>
    <col min="5899" max="5900" width="8" style="36" customWidth="1"/>
    <col min="5901" max="5901" width="1.85546875" style="36" customWidth="1"/>
    <col min="5902" max="6144" width="9" style="36"/>
    <col min="6145" max="6145" width="2.7109375" style="36" customWidth="1"/>
    <col min="6146" max="6150" width="8" style="36" customWidth="1"/>
    <col min="6151" max="6151" width="7.42578125" style="36" customWidth="1"/>
    <col min="6152" max="6152" width="8" style="36" customWidth="1"/>
    <col min="6153" max="6153" width="8.28515625" style="36" customWidth="1"/>
    <col min="6154" max="6154" width="8.85546875" style="36" customWidth="1"/>
    <col min="6155" max="6156" width="8" style="36" customWidth="1"/>
    <col min="6157" max="6157" width="1.85546875" style="36" customWidth="1"/>
    <col min="6158" max="6400" width="9" style="36"/>
    <col min="6401" max="6401" width="2.7109375" style="36" customWidth="1"/>
    <col min="6402" max="6406" width="8" style="36" customWidth="1"/>
    <col min="6407" max="6407" width="7.42578125" style="36" customWidth="1"/>
    <col min="6408" max="6408" width="8" style="36" customWidth="1"/>
    <col min="6409" max="6409" width="8.28515625" style="36" customWidth="1"/>
    <col min="6410" max="6410" width="8.85546875" style="36" customWidth="1"/>
    <col min="6411" max="6412" width="8" style="36" customWidth="1"/>
    <col min="6413" max="6413" width="1.85546875" style="36" customWidth="1"/>
    <col min="6414" max="6656" width="9" style="36"/>
    <col min="6657" max="6657" width="2.7109375" style="36" customWidth="1"/>
    <col min="6658" max="6662" width="8" style="36" customWidth="1"/>
    <col min="6663" max="6663" width="7.42578125" style="36" customWidth="1"/>
    <col min="6664" max="6664" width="8" style="36" customWidth="1"/>
    <col min="6665" max="6665" width="8.28515625" style="36" customWidth="1"/>
    <col min="6666" max="6666" width="8.85546875" style="36" customWidth="1"/>
    <col min="6667" max="6668" width="8" style="36" customWidth="1"/>
    <col min="6669" max="6669" width="1.85546875" style="36" customWidth="1"/>
    <col min="6670" max="6912" width="9" style="36"/>
    <col min="6913" max="6913" width="2.7109375" style="36" customWidth="1"/>
    <col min="6914" max="6918" width="8" style="36" customWidth="1"/>
    <col min="6919" max="6919" width="7.42578125" style="36" customWidth="1"/>
    <col min="6920" max="6920" width="8" style="36" customWidth="1"/>
    <col min="6921" max="6921" width="8.28515625" style="36" customWidth="1"/>
    <col min="6922" max="6922" width="8.85546875" style="36" customWidth="1"/>
    <col min="6923" max="6924" width="8" style="36" customWidth="1"/>
    <col min="6925" max="6925" width="1.85546875" style="36" customWidth="1"/>
    <col min="6926" max="7168" width="9" style="36"/>
    <col min="7169" max="7169" width="2.7109375" style="36" customWidth="1"/>
    <col min="7170" max="7174" width="8" style="36" customWidth="1"/>
    <col min="7175" max="7175" width="7.42578125" style="36" customWidth="1"/>
    <col min="7176" max="7176" width="8" style="36" customWidth="1"/>
    <col min="7177" max="7177" width="8.28515625" style="36" customWidth="1"/>
    <col min="7178" max="7178" width="8.85546875" style="36" customWidth="1"/>
    <col min="7179" max="7180" width="8" style="36" customWidth="1"/>
    <col min="7181" max="7181" width="1.85546875" style="36" customWidth="1"/>
    <col min="7182" max="7424" width="9" style="36"/>
    <col min="7425" max="7425" width="2.7109375" style="36" customWidth="1"/>
    <col min="7426" max="7430" width="8" style="36" customWidth="1"/>
    <col min="7431" max="7431" width="7.42578125" style="36" customWidth="1"/>
    <col min="7432" max="7432" width="8" style="36" customWidth="1"/>
    <col min="7433" max="7433" width="8.28515625" style="36" customWidth="1"/>
    <col min="7434" max="7434" width="8.85546875" style="36" customWidth="1"/>
    <col min="7435" max="7436" width="8" style="36" customWidth="1"/>
    <col min="7437" max="7437" width="1.85546875" style="36" customWidth="1"/>
    <col min="7438" max="7680" width="9" style="36"/>
    <col min="7681" max="7681" width="2.7109375" style="36" customWidth="1"/>
    <col min="7682" max="7686" width="8" style="36" customWidth="1"/>
    <col min="7687" max="7687" width="7.42578125" style="36" customWidth="1"/>
    <col min="7688" max="7688" width="8" style="36" customWidth="1"/>
    <col min="7689" max="7689" width="8.28515625" style="36" customWidth="1"/>
    <col min="7690" max="7690" width="8.85546875" style="36" customWidth="1"/>
    <col min="7691" max="7692" width="8" style="36" customWidth="1"/>
    <col min="7693" max="7693" width="1.85546875" style="36" customWidth="1"/>
    <col min="7694" max="7936" width="9" style="36"/>
    <col min="7937" max="7937" width="2.7109375" style="36" customWidth="1"/>
    <col min="7938" max="7942" width="8" style="36" customWidth="1"/>
    <col min="7943" max="7943" width="7.42578125" style="36" customWidth="1"/>
    <col min="7944" max="7944" width="8" style="36" customWidth="1"/>
    <col min="7945" max="7945" width="8.28515625" style="36" customWidth="1"/>
    <col min="7946" max="7946" width="8.85546875" style="36" customWidth="1"/>
    <col min="7947" max="7948" width="8" style="36" customWidth="1"/>
    <col min="7949" max="7949" width="1.85546875" style="36" customWidth="1"/>
    <col min="7950" max="8192" width="9" style="36"/>
    <col min="8193" max="8193" width="2.7109375" style="36" customWidth="1"/>
    <col min="8194" max="8198" width="8" style="36" customWidth="1"/>
    <col min="8199" max="8199" width="7.42578125" style="36" customWidth="1"/>
    <col min="8200" max="8200" width="8" style="36" customWidth="1"/>
    <col min="8201" max="8201" width="8.28515625" style="36" customWidth="1"/>
    <col min="8202" max="8202" width="8.85546875" style="36" customWidth="1"/>
    <col min="8203" max="8204" width="8" style="36" customWidth="1"/>
    <col min="8205" max="8205" width="1.85546875" style="36" customWidth="1"/>
    <col min="8206" max="8448" width="9" style="36"/>
    <col min="8449" max="8449" width="2.7109375" style="36" customWidth="1"/>
    <col min="8450" max="8454" width="8" style="36" customWidth="1"/>
    <col min="8455" max="8455" width="7.42578125" style="36" customWidth="1"/>
    <col min="8456" max="8456" width="8" style="36" customWidth="1"/>
    <col min="8457" max="8457" width="8.28515625" style="36" customWidth="1"/>
    <col min="8458" max="8458" width="8.85546875" style="36" customWidth="1"/>
    <col min="8459" max="8460" width="8" style="36" customWidth="1"/>
    <col min="8461" max="8461" width="1.85546875" style="36" customWidth="1"/>
    <col min="8462" max="8704" width="9" style="36"/>
    <col min="8705" max="8705" width="2.7109375" style="36" customWidth="1"/>
    <col min="8706" max="8710" width="8" style="36" customWidth="1"/>
    <col min="8711" max="8711" width="7.42578125" style="36" customWidth="1"/>
    <col min="8712" max="8712" width="8" style="36" customWidth="1"/>
    <col min="8713" max="8713" width="8.28515625" style="36" customWidth="1"/>
    <col min="8714" max="8714" width="8.85546875" style="36" customWidth="1"/>
    <col min="8715" max="8716" width="8" style="36" customWidth="1"/>
    <col min="8717" max="8717" width="1.85546875" style="36" customWidth="1"/>
    <col min="8718" max="8960" width="9" style="36"/>
    <col min="8961" max="8961" width="2.7109375" style="36" customWidth="1"/>
    <col min="8962" max="8966" width="8" style="36" customWidth="1"/>
    <col min="8967" max="8967" width="7.42578125" style="36" customWidth="1"/>
    <col min="8968" max="8968" width="8" style="36" customWidth="1"/>
    <col min="8969" max="8969" width="8.28515625" style="36" customWidth="1"/>
    <col min="8970" max="8970" width="8.85546875" style="36" customWidth="1"/>
    <col min="8971" max="8972" width="8" style="36" customWidth="1"/>
    <col min="8973" max="8973" width="1.85546875" style="36" customWidth="1"/>
    <col min="8974" max="9216" width="9" style="36"/>
    <col min="9217" max="9217" width="2.7109375" style="36" customWidth="1"/>
    <col min="9218" max="9222" width="8" style="36" customWidth="1"/>
    <col min="9223" max="9223" width="7.42578125" style="36" customWidth="1"/>
    <col min="9224" max="9224" width="8" style="36" customWidth="1"/>
    <col min="9225" max="9225" width="8.28515625" style="36" customWidth="1"/>
    <col min="9226" max="9226" width="8.85546875" style="36" customWidth="1"/>
    <col min="9227" max="9228" width="8" style="36" customWidth="1"/>
    <col min="9229" max="9229" width="1.85546875" style="36" customWidth="1"/>
    <col min="9230" max="9472" width="9" style="36"/>
    <col min="9473" max="9473" width="2.7109375" style="36" customWidth="1"/>
    <col min="9474" max="9478" width="8" style="36" customWidth="1"/>
    <col min="9479" max="9479" width="7.42578125" style="36" customWidth="1"/>
    <col min="9480" max="9480" width="8" style="36" customWidth="1"/>
    <col min="9481" max="9481" width="8.28515625" style="36" customWidth="1"/>
    <col min="9482" max="9482" width="8.85546875" style="36" customWidth="1"/>
    <col min="9483" max="9484" width="8" style="36" customWidth="1"/>
    <col min="9485" max="9485" width="1.85546875" style="36" customWidth="1"/>
    <col min="9486" max="9728" width="9" style="36"/>
    <col min="9729" max="9729" width="2.7109375" style="36" customWidth="1"/>
    <col min="9730" max="9734" width="8" style="36" customWidth="1"/>
    <col min="9735" max="9735" width="7.42578125" style="36" customWidth="1"/>
    <col min="9736" max="9736" width="8" style="36" customWidth="1"/>
    <col min="9737" max="9737" width="8.28515625" style="36" customWidth="1"/>
    <col min="9738" max="9738" width="8.85546875" style="36" customWidth="1"/>
    <col min="9739" max="9740" width="8" style="36" customWidth="1"/>
    <col min="9741" max="9741" width="1.85546875" style="36" customWidth="1"/>
    <col min="9742" max="9984" width="9" style="36"/>
    <col min="9985" max="9985" width="2.7109375" style="36" customWidth="1"/>
    <col min="9986" max="9990" width="8" style="36" customWidth="1"/>
    <col min="9991" max="9991" width="7.42578125" style="36" customWidth="1"/>
    <col min="9992" max="9992" width="8" style="36" customWidth="1"/>
    <col min="9993" max="9993" width="8.28515625" style="36" customWidth="1"/>
    <col min="9994" max="9994" width="8.85546875" style="36" customWidth="1"/>
    <col min="9995" max="9996" width="8" style="36" customWidth="1"/>
    <col min="9997" max="9997" width="1.85546875" style="36" customWidth="1"/>
    <col min="9998" max="10240" width="9" style="36"/>
    <col min="10241" max="10241" width="2.7109375" style="36" customWidth="1"/>
    <col min="10242" max="10246" width="8" style="36" customWidth="1"/>
    <col min="10247" max="10247" width="7.42578125" style="36" customWidth="1"/>
    <col min="10248" max="10248" width="8" style="36" customWidth="1"/>
    <col min="10249" max="10249" width="8.28515625" style="36" customWidth="1"/>
    <col min="10250" max="10250" width="8.85546875" style="36" customWidth="1"/>
    <col min="10251" max="10252" width="8" style="36" customWidth="1"/>
    <col min="10253" max="10253" width="1.85546875" style="36" customWidth="1"/>
    <col min="10254" max="10496" width="9" style="36"/>
    <col min="10497" max="10497" width="2.7109375" style="36" customWidth="1"/>
    <col min="10498" max="10502" width="8" style="36" customWidth="1"/>
    <col min="10503" max="10503" width="7.42578125" style="36" customWidth="1"/>
    <col min="10504" max="10504" width="8" style="36" customWidth="1"/>
    <col min="10505" max="10505" width="8.28515625" style="36" customWidth="1"/>
    <col min="10506" max="10506" width="8.85546875" style="36" customWidth="1"/>
    <col min="10507" max="10508" width="8" style="36" customWidth="1"/>
    <col min="10509" max="10509" width="1.85546875" style="36" customWidth="1"/>
    <col min="10510" max="10752" width="9" style="36"/>
    <col min="10753" max="10753" width="2.7109375" style="36" customWidth="1"/>
    <col min="10754" max="10758" width="8" style="36" customWidth="1"/>
    <col min="10759" max="10759" width="7.42578125" style="36" customWidth="1"/>
    <col min="10760" max="10760" width="8" style="36" customWidth="1"/>
    <col min="10761" max="10761" width="8.28515625" style="36" customWidth="1"/>
    <col min="10762" max="10762" width="8.85546875" style="36" customWidth="1"/>
    <col min="10763" max="10764" width="8" style="36" customWidth="1"/>
    <col min="10765" max="10765" width="1.85546875" style="36" customWidth="1"/>
    <col min="10766" max="11008" width="9" style="36"/>
    <col min="11009" max="11009" width="2.7109375" style="36" customWidth="1"/>
    <col min="11010" max="11014" width="8" style="36" customWidth="1"/>
    <col min="11015" max="11015" width="7.42578125" style="36" customWidth="1"/>
    <col min="11016" max="11016" width="8" style="36" customWidth="1"/>
    <col min="11017" max="11017" width="8.28515625" style="36" customWidth="1"/>
    <col min="11018" max="11018" width="8.85546875" style="36" customWidth="1"/>
    <col min="11019" max="11020" width="8" style="36" customWidth="1"/>
    <col min="11021" max="11021" width="1.85546875" style="36" customWidth="1"/>
    <col min="11022" max="11264" width="9" style="36"/>
    <col min="11265" max="11265" width="2.7109375" style="36" customWidth="1"/>
    <col min="11266" max="11270" width="8" style="36" customWidth="1"/>
    <col min="11271" max="11271" width="7.42578125" style="36" customWidth="1"/>
    <col min="11272" max="11272" width="8" style="36" customWidth="1"/>
    <col min="11273" max="11273" width="8.28515625" style="36" customWidth="1"/>
    <col min="11274" max="11274" width="8.85546875" style="36" customWidth="1"/>
    <col min="11275" max="11276" width="8" style="36" customWidth="1"/>
    <col min="11277" max="11277" width="1.85546875" style="36" customWidth="1"/>
    <col min="11278" max="11520" width="9" style="36"/>
    <col min="11521" max="11521" width="2.7109375" style="36" customWidth="1"/>
    <col min="11522" max="11526" width="8" style="36" customWidth="1"/>
    <col min="11527" max="11527" width="7.42578125" style="36" customWidth="1"/>
    <col min="11528" max="11528" width="8" style="36" customWidth="1"/>
    <col min="11529" max="11529" width="8.28515625" style="36" customWidth="1"/>
    <col min="11530" max="11530" width="8.85546875" style="36" customWidth="1"/>
    <col min="11531" max="11532" width="8" style="36" customWidth="1"/>
    <col min="11533" max="11533" width="1.85546875" style="36" customWidth="1"/>
    <col min="11534" max="11776" width="9" style="36"/>
    <col min="11777" max="11777" width="2.7109375" style="36" customWidth="1"/>
    <col min="11778" max="11782" width="8" style="36" customWidth="1"/>
    <col min="11783" max="11783" width="7.42578125" style="36" customWidth="1"/>
    <col min="11784" max="11784" width="8" style="36" customWidth="1"/>
    <col min="11785" max="11785" width="8.28515625" style="36" customWidth="1"/>
    <col min="11786" max="11786" width="8.85546875" style="36" customWidth="1"/>
    <col min="11787" max="11788" width="8" style="36" customWidth="1"/>
    <col min="11789" max="11789" width="1.85546875" style="36" customWidth="1"/>
    <col min="11790" max="12032" width="9" style="36"/>
    <col min="12033" max="12033" width="2.7109375" style="36" customWidth="1"/>
    <col min="12034" max="12038" width="8" style="36" customWidth="1"/>
    <col min="12039" max="12039" width="7.42578125" style="36" customWidth="1"/>
    <col min="12040" max="12040" width="8" style="36" customWidth="1"/>
    <col min="12041" max="12041" width="8.28515625" style="36" customWidth="1"/>
    <col min="12042" max="12042" width="8.85546875" style="36" customWidth="1"/>
    <col min="12043" max="12044" width="8" style="36" customWidth="1"/>
    <col min="12045" max="12045" width="1.85546875" style="36" customWidth="1"/>
    <col min="12046" max="12288" width="9" style="36"/>
    <col min="12289" max="12289" width="2.7109375" style="36" customWidth="1"/>
    <col min="12290" max="12294" width="8" style="36" customWidth="1"/>
    <col min="12295" max="12295" width="7.42578125" style="36" customWidth="1"/>
    <col min="12296" max="12296" width="8" style="36" customWidth="1"/>
    <col min="12297" max="12297" width="8.28515625" style="36" customWidth="1"/>
    <col min="12298" max="12298" width="8.85546875" style="36" customWidth="1"/>
    <col min="12299" max="12300" width="8" style="36" customWidth="1"/>
    <col min="12301" max="12301" width="1.85546875" style="36" customWidth="1"/>
    <col min="12302" max="12544" width="9" style="36"/>
    <col min="12545" max="12545" width="2.7109375" style="36" customWidth="1"/>
    <col min="12546" max="12550" width="8" style="36" customWidth="1"/>
    <col min="12551" max="12551" width="7.42578125" style="36" customWidth="1"/>
    <col min="12552" max="12552" width="8" style="36" customWidth="1"/>
    <col min="12553" max="12553" width="8.28515625" style="36" customWidth="1"/>
    <col min="12554" max="12554" width="8.85546875" style="36" customWidth="1"/>
    <col min="12555" max="12556" width="8" style="36" customWidth="1"/>
    <col min="12557" max="12557" width="1.85546875" style="36" customWidth="1"/>
    <col min="12558" max="12800" width="9" style="36"/>
    <col min="12801" max="12801" width="2.7109375" style="36" customWidth="1"/>
    <col min="12802" max="12806" width="8" style="36" customWidth="1"/>
    <col min="12807" max="12807" width="7.42578125" style="36" customWidth="1"/>
    <col min="12808" max="12808" width="8" style="36" customWidth="1"/>
    <col min="12809" max="12809" width="8.28515625" style="36" customWidth="1"/>
    <col min="12810" max="12810" width="8.85546875" style="36" customWidth="1"/>
    <col min="12811" max="12812" width="8" style="36" customWidth="1"/>
    <col min="12813" max="12813" width="1.85546875" style="36" customWidth="1"/>
    <col min="12814" max="13056" width="9" style="36"/>
    <col min="13057" max="13057" width="2.7109375" style="36" customWidth="1"/>
    <col min="13058" max="13062" width="8" style="36" customWidth="1"/>
    <col min="13063" max="13063" width="7.42578125" style="36" customWidth="1"/>
    <col min="13064" max="13064" width="8" style="36" customWidth="1"/>
    <col min="13065" max="13065" width="8.28515625" style="36" customWidth="1"/>
    <col min="13066" max="13066" width="8.85546875" style="36" customWidth="1"/>
    <col min="13067" max="13068" width="8" style="36" customWidth="1"/>
    <col min="13069" max="13069" width="1.85546875" style="36" customWidth="1"/>
    <col min="13070" max="13312" width="9" style="36"/>
    <col min="13313" max="13313" width="2.7109375" style="36" customWidth="1"/>
    <col min="13314" max="13318" width="8" style="36" customWidth="1"/>
    <col min="13319" max="13319" width="7.42578125" style="36" customWidth="1"/>
    <col min="13320" max="13320" width="8" style="36" customWidth="1"/>
    <col min="13321" max="13321" width="8.28515625" style="36" customWidth="1"/>
    <col min="13322" max="13322" width="8.85546875" style="36" customWidth="1"/>
    <col min="13323" max="13324" width="8" style="36" customWidth="1"/>
    <col min="13325" max="13325" width="1.85546875" style="36" customWidth="1"/>
    <col min="13326" max="13568" width="9" style="36"/>
    <col min="13569" max="13569" width="2.7109375" style="36" customWidth="1"/>
    <col min="13570" max="13574" width="8" style="36" customWidth="1"/>
    <col min="13575" max="13575" width="7.42578125" style="36" customWidth="1"/>
    <col min="13576" max="13576" width="8" style="36" customWidth="1"/>
    <col min="13577" max="13577" width="8.28515625" style="36" customWidth="1"/>
    <col min="13578" max="13578" width="8.85546875" style="36" customWidth="1"/>
    <col min="13579" max="13580" width="8" style="36" customWidth="1"/>
    <col min="13581" max="13581" width="1.85546875" style="36" customWidth="1"/>
    <col min="13582" max="13824" width="9" style="36"/>
    <col min="13825" max="13825" width="2.7109375" style="36" customWidth="1"/>
    <col min="13826" max="13830" width="8" style="36" customWidth="1"/>
    <col min="13831" max="13831" width="7.42578125" style="36" customWidth="1"/>
    <col min="13832" max="13832" width="8" style="36" customWidth="1"/>
    <col min="13833" max="13833" width="8.28515625" style="36" customWidth="1"/>
    <col min="13834" max="13834" width="8.85546875" style="36" customWidth="1"/>
    <col min="13835" max="13836" width="8" style="36" customWidth="1"/>
    <col min="13837" max="13837" width="1.85546875" style="36" customWidth="1"/>
    <col min="13838" max="14080" width="9" style="36"/>
    <col min="14081" max="14081" width="2.7109375" style="36" customWidth="1"/>
    <col min="14082" max="14086" width="8" style="36" customWidth="1"/>
    <col min="14087" max="14087" width="7.42578125" style="36" customWidth="1"/>
    <col min="14088" max="14088" width="8" style="36" customWidth="1"/>
    <col min="14089" max="14089" width="8.28515625" style="36" customWidth="1"/>
    <col min="14090" max="14090" width="8.85546875" style="36" customWidth="1"/>
    <col min="14091" max="14092" width="8" style="36" customWidth="1"/>
    <col min="14093" max="14093" width="1.85546875" style="36" customWidth="1"/>
    <col min="14094" max="14336" width="9" style="36"/>
    <col min="14337" max="14337" width="2.7109375" style="36" customWidth="1"/>
    <col min="14338" max="14342" width="8" style="36" customWidth="1"/>
    <col min="14343" max="14343" width="7.42578125" style="36" customWidth="1"/>
    <col min="14344" max="14344" width="8" style="36" customWidth="1"/>
    <col min="14345" max="14345" width="8.28515625" style="36" customWidth="1"/>
    <col min="14346" max="14346" width="8.85546875" style="36" customWidth="1"/>
    <col min="14347" max="14348" width="8" style="36" customWidth="1"/>
    <col min="14349" max="14349" width="1.85546875" style="36" customWidth="1"/>
    <col min="14350" max="14592" width="9" style="36"/>
    <col min="14593" max="14593" width="2.7109375" style="36" customWidth="1"/>
    <col min="14594" max="14598" width="8" style="36" customWidth="1"/>
    <col min="14599" max="14599" width="7.42578125" style="36" customWidth="1"/>
    <col min="14600" max="14600" width="8" style="36" customWidth="1"/>
    <col min="14601" max="14601" width="8.28515625" style="36" customWidth="1"/>
    <col min="14602" max="14602" width="8.85546875" style="36" customWidth="1"/>
    <col min="14603" max="14604" width="8" style="36" customWidth="1"/>
    <col min="14605" max="14605" width="1.85546875" style="36" customWidth="1"/>
    <col min="14606" max="14848" width="9" style="36"/>
    <col min="14849" max="14849" width="2.7109375" style="36" customWidth="1"/>
    <col min="14850" max="14854" width="8" style="36" customWidth="1"/>
    <col min="14855" max="14855" width="7.42578125" style="36" customWidth="1"/>
    <col min="14856" max="14856" width="8" style="36" customWidth="1"/>
    <col min="14857" max="14857" width="8.28515625" style="36" customWidth="1"/>
    <col min="14858" max="14858" width="8.85546875" style="36" customWidth="1"/>
    <col min="14859" max="14860" width="8" style="36" customWidth="1"/>
    <col min="14861" max="14861" width="1.85546875" style="36" customWidth="1"/>
    <col min="14862" max="15104" width="9" style="36"/>
    <col min="15105" max="15105" width="2.7109375" style="36" customWidth="1"/>
    <col min="15106" max="15110" width="8" style="36" customWidth="1"/>
    <col min="15111" max="15111" width="7.42578125" style="36" customWidth="1"/>
    <col min="15112" max="15112" width="8" style="36" customWidth="1"/>
    <col min="15113" max="15113" width="8.28515625" style="36" customWidth="1"/>
    <col min="15114" max="15114" width="8.85546875" style="36" customWidth="1"/>
    <col min="15115" max="15116" width="8" style="36" customWidth="1"/>
    <col min="15117" max="15117" width="1.85546875" style="36" customWidth="1"/>
    <col min="15118" max="15360" width="9" style="36"/>
    <col min="15361" max="15361" width="2.7109375" style="36" customWidth="1"/>
    <col min="15362" max="15366" width="8" style="36" customWidth="1"/>
    <col min="15367" max="15367" width="7.42578125" style="36" customWidth="1"/>
    <col min="15368" max="15368" width="8" style="36" customWidth="1"/>
    <col min="15369" max="15369" width="8.28515625" style="36" customWidth="1"/>
    <col min="15370" max="15370" width="8.85546875" style="36" customWidth="1"/>
    <col min="15371" max="15372" width="8" style="36" customWidth="1"/>
    <col min="15373" max="15373" width="1.85546875" style="36" customWidth="1"/>
    <col min="15374" max="15616" width="9" style="36"/>
    <col min="15617" max="15617" width="2.7109375" style="36" customWidth="1"/>
    <col min="15618" max="15622" width="8" style="36" customWidth="1"/>
    <col min="15623" max="15623" width="7.42578125" style="36" customWidth="1"/>
    <col min="15624" max="15624" width="8" style="36" customWidth="1"/>
    <col min="15625" max="15625" width="8.28515625" style="36" customWidth="1"/>
    <col min="15626" max="15626" width="8.85546875" style="36" customWidth="1"/>
    <col min="15627" max="15628" width="8" style="36" customWidth="1"/>
    <col min="15629" max="15629" width="1.85546875" style="36" customWidth="1"/>
    <col min="15630" max="15872" width="9" style="36"/>
    <col min="15873" max="15873" width="2.7109375" style="36" customWidth="1"/>
    <col min="15874" max="15878" width="8" style="36" customWidth="1"/>
    <col min="15879" max="15879" width="7.42578125" style="36" customWidth="1"/>
    <col min="15880" max="15880" width="8" style="36" customWidth="1"/>
    <col min="15881" max="15881" width="8.28515625" style="36" customWidth="1"/>
    <col min="15882" max="15882" width="8.85546875" style="36" customWidth="1"/>
    <col min="15883" max="15884" width="8" style="36" customWidth="1"/>
    <col min="15885" max="15885" width="1.85546875" style="36" customWidth="1"/>
    <col min="15886" max="16128" width="9" style="36"/>
    <col min="16129" max="16129" width="2.7109375" style="36" customWidth="1"/>
    <col min="16130" max="16134" width="8" style="36" customWidth="1"/>
    <col min="16135" max="16135" width="7.42578125" style="36" customWidth="1"/>
    <col min="16136" max="16136" width="8" style="36" customWidth="1"/>
    <col min="16137" max="16137" width="8.28515625" style="36" customWidth="1"/>
    <col min="16138" max="16138" width="8.85546875" style="36" customWidth="1"/>
    <col min="16139" max="16140" width="8" style="36" customWidth="1"/>
    <col min="16141" max="16141" width="1.85546875" style="36" customWidth="1"/>
    <col min="16142" max="16384" width="9" style="36"/>
  </cols>
  <sheetData>
    <row r="2" spans="2:12" ht="23.25">
      <c r="B2" s="104" t="s">
        <v>324</v>
      </c>
      <c r="C2" s="105"/>
      <c r="D2" s="105"/>
      <c r="E2" s="106"/>
      <c r="F2" s="106"/>
      <c r="G2" s="106"/>
      <c r="H2" s="106"/>
      <c r="I2" s="107" t="s">
        <v>325</v>
      </c>
      <c r="J2" s="106"/>
      <c r="L2" s="108"/>
    </row>
    <row r="3" spans="2:12">
      <c r="K3" s="247"/>
      <c r="L3" s="247"/>
    </row>
    <row r="4" spans="2:12">
      <c r="B4" s="109"/>
      <c r="C4" s="109"/>
      <c r="D4" s="109"/>
      <c r="E4" s="109"/>
      <c r="F4" s="109"/>
      <c r="G4" s="109"/>
      <c r="H4" s="109"/>
      <c r="I4" s="109"/>
      <c r="J4" s="109"/>
    </row>
    <row r="5" spans="2:12">
      <c r="B5" s="110"/>
      <c r="C5" s="109"/>
      <c r="D5" s="109"/>
      <c r="E5" s="109"/>
      <c r="F5" s="109"/>
      <c r="G5" s="109"/>
      <c r="H5" s="109"/>
      <c r="I5" s="109"/>
      <c r="J5" s="109"/>
    </row>
    <row r="6" spans="2:12">
      <c r="B6" s="111"/>
      <c r="C6" s="112"/>
      <c r="D6" s="112"/>
      <c r="E6" s="112"/>
      <c r="F6" s="112"/>
      <c r="G6" s="112"/>
      <c r="H6" s="112"/>
      <c r="I6" s="112"/>
      <c r="J6" s="112"/>
      <c r="K6" s="11"/>
      <c r="L6" s="11"/>
    </row>
    <row r="7" spans="2:12">
      <c r="B7" s="111"/>
      <c r="C7" s="112"/>
      <c r="D7" s="112"/>
      <c r="E7" s="112"/>
      <c r="F7" s="112"/>
      <c r="G7" s="112"/>
      <c r="H7" s="112"/>
      <c r="I7" s="112"/>
      <c r="J7" s="112"/>
      <c r="K7" s="11"/>
      <c r="L7" s="11"/>
    </row>
    <row r="8" spans="2:12">
      <c r="B8" s="111"/>
      <c r="C8" s="112"/>
      <c r="D8" s="112"/>
      <c r="E8" s="112"/>
      <c r="F8" s="112"/>
      <c r="G8" s="112"/>
      <c r="H8" s="112"/>
      <c r="I8" s="112"/>
      <c r="J8" s="112"/>
      <c r="K8" s="11"/>
      <c r="L8" s="11"/>
    </row>
    <row r="9" spans="2:12">
      <c r="B9" s="111"/>
      <c r="C9" s="112"/>
      <c r="D9" s="112"/>
      <c r="E9" s="112"/>
      <c r="F9" s="112"/>
      <c r="G9" s="112"/>
      <c r="H9" s="112"/>
      <c r="I9" s="112"/>
      <c r="J9" s="112"/>
      <c r="K9" s="11"/>
      <c r="L9" s="11"/>
    </row>
    <row r="10" spans="2:12">
      <c r="B10" s="111"/>
      <c r="C10" s="112"/>
      <c r="D10" s="112"/>
      <c r="E10" s="112"/>
      <c r="F10" s="112"/>
      <c r="G10" s="112"/>
      <c r="H10" s="112"/>
      <c r="I10" s="112"/>
      <c r="J10" s="112"/>
      <c r="K10" s="11"/>
      <c r="L10" s="11"/>
    </row>
    <row r="11" spans="2:12">
      <c r="B11" s="111"/>
      <c r="C11" s="112"/>
      <c r="D11" s="112"/>
      <c r="E11" s="112"/>
      <c r="F11" s="112"/>
      <c r="G11" s="112"/>
      <c r="H11" s="112"/>
      <c r="I11" s="112"/>
      <c r="J11" s="112"/>
      <c r="K11" s="11"/>
      <c r="L11" s="11"/>
    </row>
    <row r="12" spans="2:12">
      <c r="B12" s="111"/>
      <c r="C12" s="112"/>
      <c r="D12" s="112"/>
      <c r="E12" s="112"/>
      <c r="F12" s="112"/>
      <c r="G12" s="112"/>
      <c r="H12" s="112"/>
      <c r="I12" s="112"/>
      <c r="J12" s="112"/>
      <c r="K12" s="11"/>
      <c r="L12" s="11"/>
    </row>
    <row r="13" spans="2:12">
      <c r="B13" s="111"/>
      <c r="C13" s="112"/>
      <c r="D13" s="112"/>
      <c r="E13" s="112"/>
      <c r="F13" s="112"/>
      <c r="G13" s="112"/>
      <c r="H13" s="112"/>
      <c r="I13" s="112"/>
      <c r="J13" s="112"/>
      <c r="K13" s="11"/>
      <c r="L13" s="11"/>
    </row>
    <row r="14" spans="2:12">
      <c r="B14" s="111"/>
      <c r="C14" s="112"/>
      <c r="D14" s="112"/>
      <c r="E14" s="112"/>
      <c r="F14" s="112"/>
      <c r="G14" s="112"/>
      <c r="H14" s="112"/>
      <c r="I14" s="112"/>
      <c r="J14" s="112"/>
      <c r="K14" s="11"/>
      <c r="L14" s="11"/>
    </row>
    <row r="15" spans="2:12">
      <c r="B15" s="111"/>
      <c r="C15" s="112"/>
      <c r="D15" s="112"/>
      <c r="E15" s="112"/>
      <c r="F15" s="112"/>
      <c r="G15" s="112"/>
      <c r="H15" s="112"/>
      <c r="I15" s="112"/>
      <c r="J15" s="112"/>
      <c r="K15" s="11"/>
      <c r="L15" s="11"/>
    </row>
    <row r="16" spans="2:12">
      <c r="B16" s="111"/>
      <c r="C16" s="112"/>
      <c r="D16" s="112"/>
      <c r="E16" s="112"/>
      <c r="F16" s="112"/>
      <c r="G16" s="112"/>
      <c r="H16" s="112"/>
      <c r="I16" s="112"/>
      <c r="J16" s="112"/>
      <c r="K16" s="11"/>
      <c r="L16" s="11"/>
    </row>
    <row r="17" spans="2:12">
      <c r="B17" s="111"/>
      <c r="C17" s="112"/>
      <c r="D17" s="112"/>
      <c r="E17" s="112"/>
      <c r="F17" s="112"/>
      <c r="G17" s="112"/>
      <c r="H17" s="112"/>
      <c r="I17" s="112"/>
      <c r="J17" s="112"/>
      <c r="K17" s="11"/>
      <c r="L17" s="11"/>
    </row>
    <row r="18" spans="2:12">
      <c r="B18" s="111"/>
      <c r="C18" s="112"/>
      <c r="D18" s="112"/>
      <c r="E18" s="112"/>
      <c r="F18" s="112"/>
      <c r="G18" s="112"/>
      <c r="H18" s="112"/>
      <c r="I18" s="112"/>
      <c r="J18" s="112"/>
      <c r="K18" s="11"/>
      <c r="L18" s="11"/>
    </row>
    <row r="19" spans="2:12">
      <c r="B19" s="111"/>
      <c r="C19" s="112"/>
      <c r="D19" s="112"/>
      <c r="E19" s="112"/>
      <c r="F19" s="112"/>
      <c r="G19" s="112"/>
      <c r="H19" s="112"/>
      <c r="I19" s="112"/>
      <c r="J19" s="112"/>
      <c r="K19" s="11"/>
      <c r="L19" s="11"/>
    </row>
    <row r="20" spans="2:12">
      <c r="B20" s="111"/>
      <c r="C20" s="112"/>
      <c r="D20" s="112"/>
      <c r="E20" s="112"/>
      <c r="F20" s="112"/>
      <c r="G20" s="112"/>
      <c r="H20" s="112"/>
      <c r="I20" s="112"/>
      <c r="J20" s="112"/>
      <c r="K20" s="11"/>
      <c r="L20" s="11"/>
    </row>
    <row r="21" spans="2:12">
      <c r="B21" s="111"/>
      <c r="C21" s="112"/>
      <c r="D21" s="112"/>
      <c r="E21" s="112"/>
      <c r="F21" s="112"/>
      <c r="G21" s="112"/>
      <c r="H21" s="112"/>
      <c r="I21" s="112"/>
      <c r="J21" s="112"/>
      <c r="K21" s="11"/>
      <c r="L21" s="11"/>
    </row>
    <row r="22" spans="2:12">
      <c r="B22" s="111"/>
      <c r="C22" s="112"/>
      <c r="D22" s="112"/>
      <c r="E22" s="112"/>
      <c r="F22" s="112"/>
      <c r="G22" s="112"/>
      <c r="H22" s="112"/>
      <c r="I22" s="112"/>
      <c r="J22" s="112"/>
      <c r="K22" s="11"/>
      <c r="L22" s="11"/>
    </row>
    <row r="23" spans="2:12">
      <c r="B23" s="111"/>
      <c r="C23" s="112"/>
      <c r="D23" s="112"/>
      <c r="E23" s="112"/>
      <c r="F23" s="112"/>
      <c r="G23" s="112"/>
      <c r="H23" s="112"/>
      <c r="I23" s="112"/>
      <c r="J23" s="112"/>
      <c r="K23" s="11"/>
      <c r="L23" s="11"/>
    </row>
    <row r="24" spans="2:12">
      <c r="B24" s="111"/>
      <c r="C24" s="112"/>
      <c r="D24" s="112"/>
      <c r="E24" s="112"/>
      <c r="F24" s="112"/>
      <c r="G24" s="112"/>
      <c r="H24" s="112"/>
      <c r="I24" s="112"/>
      <c r="J24" s="112"/>
      <c r="K24" s="11"/>
      <c r="L24" s="11"/>
    </row>
    <row r="25" spans="2:12">
      <c r="B25" s="111"/>
      <c r="C25" s="112"/>
      <c r="D25" s="112"/>
      <c r="E25" s="112"/>
      <c r="F25" s="112"/>
      <c r="G25" s="112"/>
      <c r="H25" s="112"/>
      <c r="I25" s="112"/>
      <c r="J25" s="112"/>
      <c r="K25" s="11"/>
      <c r="L25" s="11"/>
    </row>
    <row r="26" spans="2:12">
      <c r="B26" s="113"/>
      <c r="C26" s="114"/>
      <c r="D26" s="114"/>
      <c r="E26" s="114"/>
      <c r="F26" s="114"/>
      <c r="G26" s="114"/>
      <c r="H26" s="114"/>
      <c r="I26" s="114"/>
      <c r="J26" s="114"/>
      <c r="K26" s="11"/>
      <c r="L26" s="11"/>
    </row>
    <row r="27" spans="2:12">
      <c r="B27" s="111"/>
      <c r="C27" s="112"/>
      <c r="D27" s="112"/>
      <c r="E27" s="112"/>
      <c r="F27" s="112"/>
      <c r="G27" s="112"/>
      <c r="H27" s="112"/>
      <c r="I27" s="112"/>
      <c r="J27" s="112"/>
      <c r="K27" s="11"/>
      <c r="L27" s="11"/>
    </row>
    <row r="28" spans="2:12">
      <c r="B28" s="111"/>
      <c r="C28" s="112"/>
      <c r="D28" s="112"/>
      <c r="E28" s="112"/>
      <c r="F28" s="112"/>
      <c r="G28" s="112"/>
      <c r="H28" s="112"/>
      <c r="I28" s="112"/>
      <c r="J28" s="112"/>
      <c r="K28" s="11"/>
      <c r="L28" s="11"/>
    </row>
    <row r="29" spans="2:12">
      <c r="B29" s="111"/>
      <c r="C29" s="112"/>
      <c r="D29" s="112"/>
      <c r="E29" s="112"/>
      <c r="F29" s="112"/>
      <c r="G29" s="112"/>
      <c r="H29" s="112"/>
      <c r="I29" s="112"/>
      <c r="J29" s="112"/>
      <c r="K29" s="11"/>
      <c r="L29" s="11"/>
    </row>
    <row r="30" spans="2:12">
      <c r="B30" s="111"/>
      <c r="C30" s="112"/>
      <c r="D30" s="112"/>
      <c r="E30" s="112"/>
      <c r="F30" s="112"/>
      <c r="G30" s="112"/>
      <c r="H30" s="112"/>
      <c r="I30" s="112"/>
      <c r="J30" s="112"/>
      <c r="K30" s="11"/>
      <c r="L30" s="11"/>
    </row>
    <row r="31" spans="2:12">
      <c r="B31" s="111"/>
      <c r="C31" s="112"/>
      <c r="D31" s="112"/>
      <c r="E31" s="112"/>
      <c r="F31" s="112"/>
      <c r="G31" s="112"/>
      <c r="H31" s="112"/>
      <c r="I31" s="112"/>
      <c r="J31" s="112"/>
      <c r="K31" s="11"/>
      <c r="L31" s="11"/>
    </row>
    <row r="32" spans="2:12">
      <c r="B32" s="111"/>
      <c r="C32" s="112"/>
      <c r="D32" s="112"/>
      <c r="E32" s="112"/>
      <c r="F32" s="112"/>
      <c r="G32" s="112"/>
      <c r="H32" s="112"/>
      <c r="I32" s="112"/>
      <c r="J32" s="112"/>
      <c r="K32" s="11"/>
      <c r="L32" s="11"/>
    </row>
    <row r="33" spans="2:12">
      <c r="B33" s="115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2:12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2:12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2:12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2:12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2:1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2:12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2:12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2:12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2:1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2:12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2:12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2:12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2:12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2:12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2:12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</sheetData>
  <protectedRanges>
    <protectedRange sqref="B6:L35" name="ช่วง1"/>
  </protectedRanges>
  <mergeCells count="1">
    <mergeCell ref="K3:L3"/>
  </mergeCells>
  <printOptions horizontalCentered="1"/>
  <pageMargins left="0" right="0.51181102362204722" top="0.39370078740157483" bottom="0" header="0.31496062992125984" footer="0.31496062992125984"/>
  <pageSetup paperSize="9" orientation="portrait" horizontalDpi="4294967293" verticalDpi="429496729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2"/>
  <sheetViews>
    <sheetView tabSelected="1" view="pageBreakPreview" zoomScale="86" zoomScaleNormal="100" zoomScaleSheetLayoutView="86" workbookViewId="0">
      <selection activeCell="D5" sqref="D5"/>
    </sheetView>
  </sheetViews>
  <sheetFormatPr defaultColWidth="0" defaultRowHeight="15"/>
  <cols>
    <col min="1" max="1" width="1.42578125" style="1" customWidth="1"/>
    <col min="2" max="2" width="3.28515625" style="1" customWidth="1"/>
    <col min="3" max="3" width="10" style="1" customWidth="1"/>
    <col min="4" max="4" width="29.5703125" style="1" customWidth="1"/>
    <col min="5" max="9" width="4.140625" style="1" customWidth="1"/>
    <col min="10" max="10" width="4" style="1" customWidth="1"/>
    <col min="11" max="12" width="4.140625" style="1" customWidth="1"/>
    <col min="13" max="13" width="5.85546875" style="1" customWidth="1"/>
    <col min="14" max="14" width="12.7109375" style="1" customWidth="1"/>
    <col min="15" max="15" width="1.42578125" style="1" customWidth="1"/>
    <col min="16" max="251" width="0" style="1" hidden="1"/>
    <col min="252" max="252" width="1.85546875" style="1" customWidth="1"/>
    <col min="253" max="253" width="3.140625" style="1" customWidth="1"/>
    <col min="254" max="260" width="4.140625" style="1" customWidth="1"/>
    <col min="261" max="261" width="4" style="1" customWidth="1"/>
    <col min="262" max="267" width="4.140625" style="1" customWidth="1"/>
    <col min="268" max="269" width="4.28515625" style="1" customWidth="1"/>
    <col min="270" max="270" width="15.42578125" style="1" customWidth="1"/>
    <col min="271" max="271" width="1.42578125" style="1" customWidth="1"/>
    <col min="272" max="507" width="0" style="1" hidden="1"/>
    <col min="508" max="508" width="1.85546875" style="1" customWidth="1"/>
    <col min="509" max="509" width="3.140625" style="1" customWidth="1"/>
    <col min="510" max="516" width="4.140625" style="1" customWidth="1"/>
    <col min="517" max="517" width="4" style="1" customWidth="1"/>
    <col min="518" max="523" width="4.140625" style="1" customWidth="1"/>
    <col min="524" max="525" width="4.28515625" style="1" customWidth="1"/>
    <col min="526" max="526" width="15.42578125" style="1" customWidth="1"/>
    <col min="527" max="527" width="1.42578125" style="1" customWidth="1"/>
    <col min="528" max="763" width="0" style="1" hidden="1"/>
    <col min="764" max="764" width="1.85546875" style="1" customWidth="1"/>
    <col min="765" max="765" width="3.140625" style="1" customWidth="1"/>
    <col min="766" max="772" width="4.140625" style="1" customWidth="1"/>
    <col min="773" max="773" width="4" style="1" customWidth="1"/>
    <col min="774" max="779" width="4.140625" style="1" customWidth="1"/>
    <col min="780" max="781" width="4.28515625" style="1" customWidth="1"/>
    <col min="782" max="782" width="15.42578125" style="1" customWidth="1"/>
    <col min="783" max="783" width="1.42578125" style="1" customWidth="1"/>
    <col min="784" max="1019" width="0" style="1" hidden="1"/>
    <col min="1020" max="1020" width="1.85546875" style="1" customWidth="1"/>
    <col min="1021" max="1021" width="3.140625" style="1" customWidth="1"/>
    <col min="1022" max="1028" width="4.140625" style="1" customWidth="1"/>
    <col min="1029" max="1029" width="4" style="1" customWidth="1"/>
    <col min="1030" max="1035" width="4.140625" style="1" customWidth="1"/>
    <col min="1036" max="1037" width="4.28515625" style="1" customWidth="1"/>
    <col min="1038" max="1038" width="15.42578125" style="1" customWidth="1"/>
    <col min="1039" max="1039" width="1.42578125" style="1" customWidth="1"/>
    <col min="1040" max="1275" width="0" style="1" hidden="1"/>
    <col min="1276" max="1276" width="1.85546875" style="1" customWidth="1"/>
    <col min="1277" max="1277" width="3.140625" style="1" customWidth="1"/>
    <col min="1278" max="1284" width="4.140625" style="1" customWidth="1"/>
    <col min="1285" max="1285" width="4" style="1" customWidth="1"/>
    <col min="1286" max="1291" width="4.140625" style="1" customWidth="1"/>
    <col min="1292" max="1293" width="4.28515625" style="1" customWidth="1"/>
    <col min="1294" max="1294" width="15.42578125" style="1" customWidth="1"/>
    <col min="1295" max="1295" width="1.42578125" style="1" customWidth="1"/>
    <col min="1296" max="1531" width="0" style="1" hidden="1"/>
    <col min="1532" max="1532" width="1.85546875" style="1" customWidth="1"/>
    <col min="1533" max="1533" width="3.140625" style="1" customWidth="1"/>
    <col min="1534" max="1540" width="4.140625" style="1" customWidth="1"/>
    <col min="1541" max="1541" width="4" style="1" customWidth="1"/>
    <col min="1542" max="1547" width="4.140625" style="1" customWidth="1"/>
    <col min="1548" max="1549" width="4.28515625" style="1" customWidth="1"/>
    <col min="1550" max="1550" width="15.42578125" style="1" customWidth="1"/>
    <col min="1551" max="1551" width="1.42578125" style="1" customWidth="1"/>
    <col min="1552" max="1787" width="0" style="1" hidden="1"/>
    <col min="1788" max="1788" width="1.85546875" style="1" customWidth="1"/>
    <col min="1789" max="1789" width="3.140625" style="1" customWidth="1"/>
    <col min="1790" max="1796" width="4.140625" style="1" customWidth="1"/>
    <col min="1797" max="1797" width="4" style="1" customWidth="1"/>
    <col min="1798" max="1803" width="4.140625" style="1" customWidth="1"/>
    <col min="1804" max="1805" width="4.28515625" style="1" customWidth="1"/>
    <col min="1806" max="1806" width="15.42578125" style="1" customWidth="1"/>
    <col min="1807" max="1807" width="1.42578125" style="1" customWidth="1"/>
    <col min="1808" max="2043" width="0" style="1" hidden="1"/>
    <col min="2044" max="2044" width="1.85546875" style="1" customWidth="1"/>
    <col min="2045" max="2045" width="3.140625" style="1" customWidth="1"/>
    <col min="2046" max="2052" width="4.140625" style="1" customWidth="1"/>
    <col min="2053" max="2053" width="4" style="1" customWidth="1"/>
    <col min="2054" max="2059" width="4.140625" style="1" customWidth="1"/>
    <col min="2060" max="2061" width="4.28515625" style="1" customWidth="1"/>
    <col min="2062" max="2062" width="15.42578125" style="1" customWidth="1"/>
    <col min="2063" max="2063" width="1.42578125" style="1" customWidth="1"/>
    <col min="2064" max="2299" width="0" style="1" hidden="1"/>
    <col min="2300" max="2300" width="1.85546875" style="1" customWidth="1"/>
    <col min="2301" max="2301" width="3.140625" style="1" customWidth="1"/>
    <col min="2302" max="2308" width="4.140625" style="1" customWidth="1"/>
    <col min="2309" max="2309" width="4" style="1" customWidth="1"/>
    <col min="2310" max="2315" width="4.140625" style="1" customWidth="1"/>
    <col min="2316" max="2317" width="4.28515625" style="1" customWidth="1"/>
    <col min="2318" max="2318" width="15.42578125" style="1" customWidth="1"/>
    <col min="2319" max="2319" width="1.42578125" style="1" customWidth="1"/>
    <col min="2320" max="2555" width="0" style="1" hidden="1"/>
    <col min="2556" max="2556" width="1.85546875" style="1" customWidth="1"/>
    <col min="2557" max="2557" width="3.140625" style="1" customWidth="1"/>
    <col min="2558" max="2564" width="4.140625" style="1" customWidth="1"/>
    <col min="2565" max="2565" width="4" style="1" customWidth="1"/>
    <col min="2566" max="2571" width="4.140625" style="1" customWidth="1"/>
    <col min="2572" max="2573" width="4.28515625" style="1" customWidth="1"/>
    <col min="2574" max="2574" width="15.42578125" style="1" customWidth="1"/>
    <col min="2575" max="2575" width="1.42578125" style="1" customWidth="1"/>
    <col min="2576" max="2811" width="0" style="1" hidden="1"/>
    <col min="2812" max="2812" width="1.85546875" style="1" customWidth="1"/>
    <col min="2813" max="2813" width="3.140625" style="1" customWidth="1"/>
    <col min="2814" max="2820" width="4.140625" style="1" customWidth="1"/>
    <col min="2821" max="2821" width="4" style="1" customWidth="1"/>
    <col min="2822" max="2827" width="4.140625" style="1" customWidth="1"/>
    <col min="2828" max="2829" width="4.28515625" style="1" customWidth="1"/>
    <col min="2830" max="2830" width="15.42578125" style="1" customWidth="1"/>
    <col min="2831" max="2831" width="1.42578125" style="1" customWidth="1"/>
    <col min="2832" max="3067" width="0" style="1" hidden="1"/>
    <col min="3068" max="3068" width="1.85546875" style="1" customWidth="1"/>
    <col min="3069" max="3069" width="3.140625" style="1" customWidth="1"/>
    <col min="3070" max="3076" width="4.140625" style="1" customWidth="1"/>
    <col min="3077" max="3077" width="4" style="1" customWidth="1"/>
    <col min="3078" max="3083" width="4.140625" style="1" customWidth="1"/>
    <col min="3084" max="3085" width="4.28515625" style="1" customWidth="1"/>
    <col min="3086" max="3086" width="15.42578125" style="1" customWidth="1"/>
    <col min="3087" max="3087" width="1.42578125" style="1" customWidth="1"/>
    <col min="3088" max="3323" width="0" style="1" hidden="1"/>
    <col min="3324" max="3324" width="1.85546875" style="1" customWidth="1"/>
    <col min="3325" max="3325" width="3.140625" style="1" customWidth="1"/>
    <col min="3326" max="3332" width="4.140625" style="1" customWidth="1"/>
    <col min="3333" max="3333" width="4" style="1" customWidth="1"/>
    <col min="3334" max="3339" width="4.140625" style="1" customWidth="1"/>
    <col min="3340" max="3341" width="4.28515625" style="1" customWidth="1"/>
    <col min="3342" max="3342" width="15.42578125" style="1" customWidth="1"/>
    <col min="3343" max="3343" width="1.42578125" style="1" customWidth="1"/>
    <col min="3344" max="3579" width="0" style="1" hidden="1"/>
    <col min="3580" max="3580" width="1.85546875" style="1" customWidth="1"/>
    <col min="3581" max="3581" width="3.140625" style="1" customWidth="1"/>
    <col min="3582" max="3588" width="4.140625" style="1" customWidth="1"/>
    <col min="3589" max="3589" width="4" style="1" customWidth="1"/>
    <col min="3590" max="3595" width="4.140625" style="1" customWidth="1"/>
    <col min="3596" max="3597" width="4.28515625" style="1" customWidth="1"/>
    <col min="3598" max="3598" width="15.42578125" style="1" customWidth="1"/>
    <col min="3599" max="3599" width="1.42578125" style="1" customWidth="1"/>
    <col min="3600" max="3835" width="0" style="1" hidden="1"/>
    <col min="3836" max="3836" width="1.85546875" style="1" customWidth="1"/>
    <col min="3837" max="3837" width="3.140625" style="1" customWidth="1"/>
    <col min="3838" max="3844" width="4.140625" style="1" customWidth="1"/>
    <col min="3845" max="3845" width="4" style="1" customWidth="1"/>
    <col min="3846" max="3851" width="4.140625" style="1" customWidth="1"/>
    <col min="3852" max="3853" width="4.28515625" style="1" customWidth="1"/>
    <col min="3854" max="3854" width="15.42578125" style="1" customWidth="1"/>
    <col min="3855" max="3855" width="1.42578125" style="1" customWidth="1"/>
    <col min="3856" max="4091" width="0" style="1" hidden="1"/>
    <col min="4092" max="4092" width="1.85546875" style="1" customWidth="1"/>
    <col min="4093" max="4093" width="3.140625" style="1" customWidth="1"/>
    <col min="4094" max="4100" width="4.140625" style="1" customWidth="1"/>
    <col min="4101" max="4101" width="4" style="1" customWidth="1"/>
    <col min="4102" max="4107" width="4.140625" style="1" customWidth="1"/>
    <col min="4108" max="4109" width="4.28515625" style="1" customWidth="1"/>
    <col min="4110" max="4110" width="15.42578125" style="1" customWidth="1"/>
    <col min="4111" max="4111" width="1.42578125" style="1" customWidth="1"/>
    <col min="4112" max="4347" width="0" style="1" hidden="1"/>
    <col min="4348" max="4348" width="1.85546875" style="1" customWidth="1"/>
    <col min="4349" max="4349" width="3.140625" style="1" customWidth="1"/>
    <col min="4350" max="4356" width="4.140625" style="1" customWidth="1"/>
    <col min="4357" max="4357" width="4" style="1" customWidth="1"/>
    <col min="4358" max="4363" width="4.140625" style="1" customWidth="1"/>
    <col min="4364" max="4365" width="4.28515625" style="1" customWidth="1"/>
    <col min="4366" max="4366" width="15.42578125" style="1" customWidth="1"/>
    <col min="4367" max="4367" width="1.42578125" style="1" customWidth="1"/>
    <col min="4368" max="4603" width="0" style="1" hidden="1"/>
    <col min="4604" max="4604" width="1.85546875" style="1" customWidth="1"/>
    <col min="4605" max="4605" width="3.140625" style="1" customWidth="1"/>
    <col min="4606" max="4612" width="4.140625" style="1" customWidth="1"/>
    <col min="4613" max="4613" width="4" style="1" customWidth="1"/>
    <col min="4614" max="4619" width="4.140625" style="1" customWidth="1"/>
    <col min="4620" max="4621" width="4.28515625" style="1" customWidth="1"/>
    <col min="4622" max="4622" width="15.42578125" style="1" customWidth="1"/>
    <col min="4623" max="4623" width="1.42578125" style="1" customWidth="1"/>
    <col min="4624" max="4859" width="0" style="1" hidden="1"/>
    <col min="4860" max="4860" width="1.85546875" style="1" customWidth="1"/>
    <col min="4861" max="4861" width="3.140625" style="1" customWidth="1"/>
    <col min="4862" max="4868" width="4.140625" style="1" customWidth="1"/>
    <col min="4869" max="4869" width="4" style="1" customWidth="1"/>
    <col min="4870" max="4875" width="4.140625" style="1" customWidth="1"/>
    <col min="4876" max="4877" width="4.28515625" style="1" customWidth="1"/>
    <col min="4878" max="4878" width="15.42578125" style="1" customWidth="1"/>
    <col min="4879" max="4879" width="1.42578125" style="1" customWidth="1"/>
    <col min="4880" max="5115" width="0" style="1" hidden="1"/>
    <col min="5116" max="5116" width="1.85546875" style="1" customWidth="1"/>
    <col min="5117" max="5117" width="3.140625" style="1" customWidth="1"/>
    <col min="5118" max="5124" width="4.140625" style="1" customWidth="1"/>
    <col min="5125" max="5125" width="4" style="1" customWidth="1"/>
    <col min="5126" max="5131" width="4.140625" style="1" customWidth="1"/>
    <col min="5132" max="5133" width="4.28515625" style="1" customWidth="1"/>
    <col min="5134" max="5134" width="15.42578125" style="1" customWidth="1"/>
    <col min="5135" max="5135" width="1.42578125" style="1" customWidth="1"/>
    <col min="5136" max="5371" width="0" style="1" hidden="1"/>
    <col min="5372" max="5372" width="1.85546875" style="1" customWidth="1"/>
    <col min="5373" max="5373" width="3.140625" style="1" customWidth="1"/>
    <col min="5374" max="5380" width="4.140625" style="1" customWidth="1"/>
    <col min="5381" max="5381" width="4" style="1" customWidth="1"/>
    <col min="5382" max="5387" width="4.140625" style="1" customWidth="1"/>
    <col min="5388" max="5389" width="4.28515625" style="1" customWidth="1"/>
    <col min="5390" max="5390" width="15.42578125" style="1" customWidth="1"/>
    <col min="5391" max="5391" width="1.42578125" style="1" customWidth="1"/>
    <col min="5392" max="5627" width="0" style="1" hidden="1"/>
    <col min="5628" max="5628" width="1.85546875" style="1" customWidth="1"/>
    <col min="5629" max="5629" width="3.140625" style="1" customWidth="1"/>
    <col min="5630" max="5636" width="4.140625" style="1" customWidth="1"/>
    <col min="5637" max="5637" width="4" style="1" customWidth="1"/>
    <col min="5638" max="5643" width="4.140625" style="1" customWidth="1"/>
    <col min="5644" max="5645" width="4.28515625" style="1" customWidth="1"/>
    <col min="5646" max="5646" width="15.42578125" style="1" customWidth="1"/>
    <col min="5647" max="5647" width="1.42578125" style="1" customWidth="1"/>
    <col min="5648" max="5883" width="0" style="1" hidden="1"/>
    <col min="5884" max="5884" width="1.85546875" style="1" customWidth="1"/>
    <col min="5885" max="5885" width="3.140625" style="1" customWidth="1"/>
    <col min="5886" max="5892" width="4.140625" style="1" customWidth="1"/>
    <col min="5893" max="5893" width="4" style="1" customWidth="1"/>
    <col min="5894" max="5899" width="4.140625" style="1" customWidth="1"/>
    <col min="5900" max="5901" width="4.28515625" style="1" customWidth="1"/>
    <col min="5902" max="5902" width="15.42578125" style="1" customWidth="1"/>
    <col min="5903" max="5903" width="1.42578125" style="1" customWidth="1"/>
    <col min="5904" max="6139" width="0" style="1" hidden="1"/>
    <col min="6140" max="6140" width="1.85546875" style="1" customWidth="1"/>
    <col min="6141" max="6141" width="3.140625" style="1" customWidth="1"/>
    <col min="6142" max="6148" width="4.140625" style="1" customWidth="1"/>
    <col min="6149" max="6149" width="4" style="1" customWidth="1"/>
    <col min="6150" max="6155" width="4.140625" style="1" customWidth="1"/>
    <col min="6156" max="6157" width="4.28515625" style="1" customWidth="1"/>
    <col min="6158" max="6158" width="15.42578125" style="1" customWidth="1"/>
    <col min="6159" max="6159" width="1.42578125" style="1" customWidth="1"/>
    <col min="6160" max="6395" width="0" style="1" hidden="1"/>
    <col min="6396" max="6396" width="1.85546875" style="1" customWidth="1"/>
    <col min="6397" max="6397" width="3.140625" style="1" customWidth="1"/>
    <col min="6398" max="6404" width="4.140625" style="1" customWidth="1"/>
    <col min="6405" max="6405" width="4" style="1" customWidth="1"/>
    <col min="6406" max="6411" width="4.140625" style="1" customWidth="1"/>
    <col min="6412" max="6413" width="4.28515625" style="1" customWidth="1"/>
    <col min="6414" max="6414" width="15.42578125" style="1" customWidth="1"/>
    <col min="6415" max="6415" width="1.42578125" style="1" customWidth="1"/>
    <col min="6416" max="6651" width="0" style="1" hidden="1"/>
    <col min="6652" max="6652" width="1.85546875" style="1" customWidth="1"/>
    <col min="6653" max="6653" width="3.140625" style="1" customWidth="1"/>
    <col min="6654" max="6660" width="4.140625" style="1" customWidth="1"/>
    <col min="6661" max="6661" width="4" style="1" customWidth="1"/>
    <col min="6662" max="6667" width="4.140625" style="1" customWidth="1"/>
    <col min="6668" max="6669" width="4.28515625" style="1" customWidth="1"/>
    <col min="6670" max="6670" width="15.42578125" style="1" customWidth="1"/>
    <col min="6671" max="6671" width="1.42578125" style="1" customWidth="1"/>
    <col min="6672" max="6907" width="0" style="1" hidden="1"/>
    <col min="6908" max="6908" width="1.85546875" style="1" customWidth="1"/>
    <col min="6909" max="6909" width="3.140625" style="1" customWidth="1"/>
    <col min="6910" max="6916" width="4.140625" style="1" customWidth="1"/>
    <col min="6917" max="6917" width="4" style="1" customWidth="1"/>
    <col min="6918" max="6923" width="4.140625" style="1" customWidth="1"/>
    <col min="6924" max="6925" width="4.28515625" style="1" customWidth="1"/>
    <col min="6926" max="6926" width="15.42578125" style="1" customWidth="1"/>
    <col min="6927" max="6927" width="1.42578125" style="1" customWidth="1"/>
    <col min="6928" max="7163" width="0" style="1" hidden="1"/>
    <col min="7164" max="7164" width="1.85546875" style="1" customWidth="1"/>
    <col min="7165" max="7165" width="3.140625" style="1" customWidth="1"/>
    <col min="7166" max="7172" width="4.140625" style="1" customWidth="1"/>
    <col min="7173" max="7173" width="4" style="1" customWidth="1"/>
    <col min="7174" max="7179" width="4.140625" style="1" customWidth="1"/>
    <col min="7180" max="7181" width="4.28515625" style="1" customWidth="1"/>
    <col min="7182" max="7182" width="15.42578125" style="1" customWidth="1"/>
    <col min="7183" max="7183" width="1.42578125" style="1" customWidth="1"/>
    <col min="7184" max="7419" width="0" style="1" hidden="1"/>
    <col min="7420" max="7420" width="1.85546875" style="1" customWidth="1"/>
    <col min="7421" max="7421" width="3.140625" style="1" customWidth="1"/>
    <col min="7422" max="7428" width="4.140625" style="1" customWidth="1"/>
    <col min="7429" max="7429" width="4" style="1" customWidth="1"/>
    <col min="7430" max="7435" width="4.140625" style="1" customWidth="1"/>
    <col min="7436" max="7437" width="4.28515625" style="1" customWidth="1"/>
    <col min="7438" max="7438" width="15.42578125" style="1" customWidth="1"/>
    <col min="7439" max="7439" width="1.42578125" style="1" customWidth="1"/>
    <col min="7440" max="7675" width="0" style="1" hidden="1"/>
    <col min="7676" max="7676" width="1.85546875" style="1" customWidth="1"/>
    <col min="7677" max="7677" width="3.140625" style="1" customWidth="1"/>
    <col min="7678" max="7684" width="4.140625" style="1" customWidth="1"/>
    <col min="7685" max="7685" width="4" style="1" customWidth="1"/>
    <col min="7686" max="7691" width="4.140625" style="1" customWidth="1"/>
    <col min="7692" max="7693" width="4.28515625" style="1" customWidth="1"/>
    <col min="7694" max="7694" width="15.42578125" style="1" customWidth="1"/>
    <col min="7695" max="7695" width="1.42578125" style="1" customWidth="1"/>
    <col min="7696" max="7931" width="0" style="1" hidden="1"/>
    <col min="7932" max="7932" width="1.85546875" style="1" customWidth="1"/>
    <col min="7933" max="7933" width="3.140625" style="1" customWidth="1"/>
    <col min="7934" max="7940" width="4.140625" style="1" customWidth="1"/>
    <col min="7941" max="7941" width="4" style="1" customWidth="1"/>
    <col min="7942" max="7947" width="4.140625" style="1" customWidth="1"/>
    <col min="7948" max="7949" width="4.28515625" style="1" customWidth="1"/>
    <col min="7950" max="7950" width="15.42578125" style="1" customWidth="1"/>
    <col min="7951" max="7951" width="1.42578125" style="1" customWidth="1"/>
    <col min="7952" max="8187" width="0" style="1" hidden="1"/>
    <col min="8188" max="8188" width="1.85546875" style="1" customWidth="1"/>
    <col min="8189" max="8189" width="3.140625" style="1" customWidth="1"/>
    <col min="8190" max="8196" width="4.140625" style="1" customWidth="1"/>
    <col min="8197" max="8197" width="4" style="1" customWidth="1"/>
    <col min="8198" max="8203" width="4.140625" style="1" customWidth="1"/>
    <col min="8204" max="8205" width="4.28515625" style="1" customWidth="1"/>
    <col min="8206" max="8206" width="15.42578125" style="1" customWidth="1"/>
    <col min="8207" max="8207" width="1.42578125" style="1" customWidth="1"/>
    <col min="8208" max="8443" width="0" style="1" hidden="1"/>
    <col min="8444" max="8444" width="1.85546875" style="1" customWidth="1"/>
    <col min="8445" max="8445" width="3.140625" style="1" customWidth="1"/>
    <col min="8446" max="8452" width="4.140625" style="1" customWidth="1"/>
    <col min="8453" max="8453" width="4" style="1" customWidth="1"/>
    <col min="8454" max="8459" width="4.140625" style="1" customWidth="1"/>
    <col min="8460" max="8461" width="4.28515625" style="1" customWidth="1"/>
    <col min="8462" max="8462" width="15.42578125" style="1" customWidth="1"/>
    <col min="8463" max="8463" width="1.42578125" style="1" customWidth="1"/>
    <col min="8464" max="8699" width="0" style="1" hidden="1"/>
    <col min="8700" max="8700" width="1.85546875" style="1" customWidth="1"/>
    <col min="8701" max="8701" width="3.140625" style="1" customWidth="1"/>
    <col min="8702" max="8708" width="4.140625" style="1" customWidth="1"/>
    <col min="8709" max="8709" width="4" style="1" customWidth="1"/>
    <col min="8710" max="8715" width="4.140625" style="1" customWidth="1"/>
    <col min="8716" max="8717" width="4.28515625" style="1" customWidth="1"/>
    <col min="8718" max="8718" width="15.42578125" style="1" customWidth="1"/>
    <col min="8719" max="8719" width="1.42578125" style="1" customWidth="1"/>
    <col min="8720" max="8955" width="0" style="1" hidden="1"/>
    <col min="8956" max="8956" width="1.85546875" style="1" customWidth="1"/>
    <col min="8957" max="8957" width="3.140625" style="1" customWidth="1"/>
    <col min="8958" max="8964" width="4.140625" style="1" customWidth="1"/>
    <col min="8965" max="8965" width="4" style="1" customWidth="1"/>
    <col min="8966" max="8971" width="4.140625" style="1" customWidth="1"/>
    <col min="8972" max="8973" width="4.28515625" style="1" customWidth="1"/>
    <col min="8974" max="8974" width="15.42578125" style="1" customWidth="1"/>
    <col min="8975" max="8975" width="1.42578125" style="1" customWidth="1"/>
    <col min="8976" max="9211" width="0" style="1" hidden="1"/>
    <col min="9212" max="9212" width="1.85546875" style="1" customWidth="1"/>
    <col min="9213" max="9213" width="3.140625" style="1" customWidth="1"/>
    <col min="9214" max="9220" width="4.140625" style="1" customWidth="1"/>
    <col min="9221" max="9221" width="4" style="1" customWidth="1"/>
    <col min="9222" max="9227" width="4.140625" style="1" customWidth="1"/>
    <col min="9228" max="9229" width="4.28515625" style="1" customWidth="1"/>
    <col min="9230" max="9230" width="15.42578125" style="1" customWidth="1"/>
    <col min="9231" max="9231" width="1.42578125" style="1" customWidth="1"/>
    <col min="9232" max="9467" width="0" style="1" hidden="1"/>
    <col min="9468" max="9468" width="1.85546875" style="1" customWidth="1"/>
    <col min="9469" max="9469" width="3.140625" style="1" customWidth="1"/>
    <col min="9470" max="9476" width="4.140625" style="1" customWidth="1"/>
    <col min="9477" max="9477" width="4" style="1" customWidth="1"/>
    <col min="9478" max="9483" width="4.140625" style="1" customWidth="1"/>
    <col min="9484" max="9485" width="4.28515625" style="1" customWidth="1"/>
    <col min="9486" max="9486" width="15.42578125" style="1" customWidth="1"/>
    <col min="9487" max="9487" width="1.42578125" style="1" customWidth="1"/>
    <col min="9488" max="9723" width="0" style="1" hidden="1"/>
    <col min="9724" max="9724" width="1.85546875" style="1" customWidth="1"/>
    <col min="9725" max="9725" width="3.140625" style="1" customWidth="1"/>
    <col min="9726" max="9732" width="4.140625" style="1" customWidth="1"/>
    <col min="9733" max="9733" width="4" style="1" customWidth="1"/>
    <col min="9734" max="9739" width="4.140625" style="1" customWidth="1"/>
    <col min="9740" max="9741" width="4.28515625" style="1" customWidth="1"/>
    <col min="9742" max="9742" width="15.42578125" style="1" customWidth="1"/>
    <col min="9743" max="9743" width="1.42578125" style="1" customWidth="1"/>
    <col min="9744" max="9979" width="0" style="1" hidden="1"/>
    <col min="9980" max="9980" width="1.85546875" style="1" customWidth="1"/>
    <col min="9981" max="9981" width="3.140625" style="1" customWidth="1"/>
    <col min="9982" max="9988" width="4.140625" style="1" customWidth="1"/>
    <col min="9989" max="9989" width="4" style="1" customWidth="1"/>
    <col min="9990" max="9995" width="4.140625" style="1" customWidth="1"/>
    <col min="9996" max="9997" width="4.28515625" style="1" customWidth="1"/>
    <col min="9998" max="9998" width="15.42578125" style="1" customWidth="1"/>
    <col min="9999" max="9999" width="1.42578125" style="1" customWidth="1"/>
    <col min="10000" max="10235" width="0" style="1" hidden="1"/>
    <col min="10236" max="10236" width="1.85546875" style="1" customWidth="1"/>
    <col min="10237" max="10237" width="3.140625" style="1" customWidth="1"/>
    <col min="10238" max="10244" width="4.140625" style="1" customWidth="1"/>
    <col min="10245" max="10245" width="4" style="1" customWidth="1"/>
    <col min="10246" max="10251" width="4.140625" style="1" customWidth="1"/>
    <col min="10252" max="10253" width="4.28515625" style="1" customWidth="1"/>
    <col min="10254" max="10254" width="15.42578125" style="1" customWidth="1"/>
    <col min="10255" max="10255" width="1.42578125" style="1" customWidth="1"/>
    <col min="10256" max="10491" width="0" style="1" hidden="1"/>
    <col min="10492" max="10492" width="1.85546875" style="1" customWidth="1"/>
    <col min="10493" max="10493" width="3.140625" style="1" customWidth="1"/>
    <col min="10494" max="10500" width="4.140625" style="1" customWidth="1"/>
    <col min="10501" max="10501" width="4" style="1" customWidth="1"/>
    <col min="10502" max="10507" width="4.140625" style="1" customWidth="1"/>
    <col min="10508" max="10509" width="4.28515625" style="1" customWidth="1"/>
    <col min="10510" max="10510" width="15.42578125" style="1" customWidth="1"/>
    <col min="10511" max="10511" width="1.42578125" style="1" customWidth="1"/>
    <col min="10512" max="10747" width="0" style="1" hidden="1"/>
    <col min="10748" max="10748" width="1.85546875" style="1" customWidth="1"/>
    <col min="10749" max="10749" width="3.140625" style="1" customWidth="1"/>
    <col min="10750" max="10756" width="4.140625" style="1" customWidth="1"/>
    <col min="10757" max="10757" width="4" style="1" customWidth="1"/>
    <col min="10758" max="10763" width="4.140625" style="1" customWidth="1"/>
    <col min="10764" max="10765" width="4.28515625" style="1" customWidth="1"/>
    <col min="10766" max="10766" width="15.42578125" style="1" customWidth="1"/>
    <col min="10767" max="10767" width="1.42578125" style="1" customWidth="1"/>
    <col min="10768" max="11003" width="0" style="1" hidden="1"/>
    <col min="11004" max="11004" width="1.85546875" style="1" customWidth="1"/>
    <col min="11005" max="11005" width="3.140625" style="1" customWidth="1"/>
    <col min="11006" max="11012" width="4.140625" style="1" customWidth="1"/>
    <col min="11013" max="11013" width="4" style="1" customWidth="1"/>
    <col min="11014" max="11019" width="4.140625" style="1" customWidth="1"/>
    <col min="11020" max="11021" width="4.28515625" style="1" customWidth="1"/>
    <col min="11022" max="11022" width="15.42578125" style="1" customWidth="1"/>
    <col min="11023" max="11023" width="1.42578125" style="1" customWidth="1"/>
    <col min="11024" max="11259" width="0" style="1" hidden="1"/>
    <col min="11260" max="11260" width="1.85546875" style="1" customWidth="1"/>
    <col min="11261" max="11261" width="3.140625" style="1" customWidth="1"/>
    <col min="11262" max="11268" width="4.140625" style="1" customWidth="1"/>
    <col min="11269" max="11269" width="4" style="1" customWidth="1"/>
    <col min="11270" max="11275" width="4.140625" style="1" customWidth="1"/>
    <col min="11276" max="11277" width="4.28515625" style="1" customWidth="1"/>
    <col min="11278" max="11278" width="15.42578125" style="1" customWidth="1"/>
    <col min="11279" max="11279" width="1.42578125" style="1" customWidth="1"/>
    <col min="11280" max="11515" width="0" style="1" hidden="1"/>
    <col min="11516" max="11516" width="1.85546875" style="1" customWidth="1"/>
    <col min="11517" max="11517" width="3.140625" style="1" customWidth="1"/>
    <col min="11518" max="11524" width="4.140625" style="1" customWidth="1"/>
    <col min="11525" max="11525" width="4" style="1" customWidth="1"/>
    <col min="11526" max="11531" width="4.140625" style="1" customWidth="1"/>
    <col min="11532" max="11533" width="4.28515625" style="1" customWidth="1"/>
    <col min="11534" max="11534" width="15.42578125" style="1" customWidth="1"/>
    <col min="11535" max="11535" width="1.42578125" style="1" customWidth="1"/>
    <col min="11536" max="11771" width="0" style="1" hidden="1"/>
    <col min="11772" max="11772" width="1.85546875" style="1" customWidth="1"/>
    <col min="11773" max="11773" width="3.140625" style="1" customWidth="1"/>
    <col min="11774" max="11780" width="4.140625" style="1" customWidth="1"/>
    <col min="11781" max="11781" width="4" style="1" customWidth="1"/>
    <col min="11782" max="11787" width="4.140625" style="1" customWidth="1"/>
    <col min="11788" max="11789" width="4.28515625" style="1" customWidth="1"/>
    <col min="11790" max="11790" width="15.42578125" style="1" customWidth="1"/>
    <col min="11791" max="11791" width="1.42578125" style="1" customWidth="1"/>
    <col min="11792" max="12027" width="0" style="1" hidden="1"/>
    <col min="12028" max="12028" width="1.85546875" style="1" customWidth="1"/>
    <col min="12029" max="12029" width="3.140625" style="1" customWidth="1"/>
    <col min="12030" max="12036" width="4.140625" style="1" customWidth="1"/>
    <col min="12037" max="12037" width="4" style="1" customWidth="1"/>
    <col min="12038" max="12043" width="4.140625" style="1" customWidth="1"/>
    <col min="12044" max="12045" width="4.28515625" style="1" customWidth="1"/>
    <col min="12046" max="12046" width="15.42578125" style="1" customWidth="1"/>
    <col min="12047" max="12047" width="1.42578125" style="1" customWidth="1"/>
    <col min="12048" max="12283" width="0" style="1" hidden="1"/>
    <col min="12284" max="12284" width="1.85546875" style="1" customWidth="1"/>
    <col min="12285" max="12285" width="3.140625" style="1" customWidth="1"/>
    <col min="12286" max="12292" width="4.140625" style="1" customWidth="1"/>
    <col min="12293" max="12293" width="4" style="1" customWidth="1"/>
    <col min="12294" max="12299" width="4.140625" style="1" customWidth="1"/>
    <col min="12300" max="12301" width="4.28515625" style="1" customWidth="1"/>
    <col min="12302" max="12302" width="15.42578125" style="1" customWidth="1"/>
    <col min="12303" max="12303" width="1.42578125" style="1" customWidth="1"/>
    <col min="12304" max="12539" width="0" style="1" hidden="1"/>
    <col min="12540" max="12540" width="1.85546875" style="1" customWidth="1"/>
    <col min="12541" max="12541" width="3.140625" style="1" customWidth="1"/>
    <col min="12542" max="12548" width="4.140625" style="1" customWidth="1"/>
    <col min="12549" max="12549" width="4" style="1" customWidth="1"/>
    <col min="12550" max="12555" width="4.140625" style="1" customWidth="1"/>
    <col min="12556" max="12557" width="4.28515625" style="1" customWidth="1"/>
    <col min="12558" max="12558" width="15.42578125" style="1" customWidth="1"/>
    <col min="12559" max="12559" width="1.42578125" style="1" customWidth="1"/>
    <col min="12560" max="12795" width="0" style="1" hidden="1"/>
    <col min="12796" max="12796" width="1.85546875" style="1" customWidth="1"/>
    <col min="12797" max="12797" width="3.140625" style="1" customWidth="1"/>
    <col min="12798" max="12804" width="4.140625" style="1" customWidth="1"/>
    <col min="12805" max="12805" width="4" style="1" customWidth="1"/>
    <col min="12806" max="12811" width="4.140625" style="1" customWidth="1"/>
    <col min="12812" max="12813" width="4.28515625" style="1" customWidth="1"/>
    <col min="12814" max="12814" width="15.42578125" style="1" customWidth="1"/>
    <col min="12815" max="12815" width="1.42578125" style="1" customWidth="1"/>
    <col min="12816" max="13051" width="0" style="1" hidden="1"/>
    <col min="13052" max="13052" width="1.85546875" style="1" customWidth="1"/>
    <col min="13053" max="13053" width="3.140625" style="1" customWidth="1"/>
    <col min="13054" max="13060" width="4.140625" style="1" customWidth="1"/>
    <col min="13061" max="13061" width="4" style="1" customWidth="1"/>
    <col min="13062" max="13067" width="4.140625" style="1" customWidth="1"/>
    <col min="13068" max="13069" width="4.28515625" style="1" customWidth="1"/>
    <col min="13070" max="13070" width="15.42578125" style="1" customWidth="1"/>
    <col min="13071" max="13071" width="1.42578125" style="1" customWidth="1"/>
    <col min="13072" max="13307" width="0" style="1" hidden="1"/>
    <col min="13308" max="13308" width="1.85546875" style="1" customWidth="1"/>
    <col min="13309" max="13309" width="3.140625" style="1" customWidth="1"/>
    <col min="13310" max="13316" width="4.140625" style="1" customWidth="1"/>
    <col min="13317" max="13317" width="4" style="1" customWidth="1"/>
    <col min="13318" max="13323" width="4.140625" style="1" customWidth="1"/>
    <col min="13324" max="13325" width="4.28515625" style="1" customWidth="1"/>
    <col min="13326" max="13326" width="15.42578125" style="1" customWidth="1"/>
    <col min="13327" max="13327" width="1.42578125" style="1" customWidth="1"/>
    <col min="13328" max="13563" width="0" style="1" hidden="1"/>
    <col min="13564" max="13564" width="1.85546875" style="1" customWidth="1"/>
    <col min="13565" max="13565" width="3.140625" style="1" customWidth="1"/>
    <col min="13566" max="13572" width="4.140625" style="1" customWidth="1"/>
    <col min="13573" max="13573" width="4" style="1" customWidth="1"/>
    <col min="13574" max="13579" width="4.140625" style="1" customWidth="1"/>
    <col min="13580" max="13581" width="4.28515625" style="1" customWidth="1"/>
    <col min="13582" max="13582" width="15.42578125" style="1" customWidth="1"/>
    <col min="13583" max="13583" width="1.42578125" style="1" customWidth="1"/>
    <col min="13584" max="13819" width="0" style="1" hidden="1"/>
    <col min="13820" max="13820" width="1.85546875" style="1" customWidth="1"/>
    <col min="13821" max="13821" width="3.140625" style="1" customWidth="1"/>
    <col min="13822" max="13828" width="4.140625" style="1" customWidth="1"/>
    <col min="13829" max="13829" width="4" style="1" customWidth="1"/>
    <col min="13830" max="13835" width="4.140625" style="1" customWidth="1"/>
    <col min="13836" max="13837" width="4.28515625" style="1" customWidth="1"/>
    <col min="13838" max="13838" width="15.42578125" style="1" customWidth="1"/>
    <col min="13839" max="13839" width="1.42578125" style="1" customWidth="1"/>
    <col min="13840" max="14075" width="0" style="1" hidden="1"/>
    <col min="14076" max="14076" width="1.85546875" style="1" customWidth="1"/>
    <col min="14077" max="14077" width="3.140625" style="1" customWidth="1"/>
    <col min="14078" max="14084" width="4.140625" style="1" customWidth="1"/>
    <col min="14085" max="14085" width="4" style="1" customWidth="1"/>
    <col min="14086" max="14091" width="4.140625" style="1" customWidth="1"/>
    <col min="14092" max="14093" width="4.28515625" style="1" customWidth="1"/>
    <col min="14094" max="14094" width="15.42578125" style="1" customWidth="1"/>
    <col min="14095" max="14095" width="1.42578125" style="1" customWidth="1"/>
    <col min="14096" max="14331" width="0" style="1" hidden="1"/>
    <col min="14332" max="14332" width="1.85546875" style="1" customWidth="1"/>
    <col min="14333" max="14333" width="3.140625" style="1" customWidth="1"/>
    <col min="14334" max="14340" width="4.140625" style="1" customWidth="1"/>
    <col min="14341" max="14341" width="4" style="1" customWidth="1"/>
    <col min="14342" max="14347" width="4.140625" style="1" customWidth="1"/>
    <col min="14348" max="14349" width="4.28515625" style="1" customWidth="1"/>
    <col min="14350" max="14350" width="15.42578125" style="1" customWidth="1"/>
    <col min="14351" max="14351" width="1.42578125" style="1" customWidth="1"/>
    <col min="14352" max="14587" width="0" style="1" hidden="1"/>
    <col min="14588" max="14588" width="1.85546875" style="1" customWidth="1"/>
    <col min="14589" max="14589" width="3.140625" style="1" customWidth="1"/>
    <col min="14590" max="14596" width="4.140625" style="1" customWidth="1"/>
    <col min="14597" max="14597" width="4" style="1" customWidth="1"/>
    <col min="14598" max="14603" width="4.140625" style="1" customWidth="1"/>
    <col min="14604" max="14605" width="4.28515625" style="1" customWidth="1"/>
    <col min="14606" max="14606" width="15.42578125" style="1" customWidth="1"/>
    <col min="14607" max="14607" width="1.42578125" style="1" customWidth="1"/>
    <col min="14608" max="14843" width="0" style="1" hidden="1"/>
    <col min="14844" max="14844" width="1.85546875" style="1" customWidth="1"/>
    <col min="14845" max="14845" width="3.140625" style="1" customWidth="1"/>
    <col min="14846" max="14852" width="4.140625" style="1" customWidth="1"/>
    <col min="14853" max="14853" width="4" style="1" customWidth="1"/>
    <col min="14854" max="14859" width="4.140625" style="1" customWidth="1"/>
    <col min="14860" max="14861" width="4.28515625" style="1" customWidth="1"/>
    <col min="14862" max="14862" width="15.42578125" style="1" customWidth="1"/>
    <col min="14863" max="14863" width="1.42578125" style="1" customWidth="1"/>
    <col min="14864" max="15099" width="0" style="1" hidden="1"/>
    <col min="15100" max="15100" width="1.85546875" style="1" customWidth="1"/>
    <col min="15101" max="15101" width="3.140625" style="1" customWidth="1"/>
    <col min="15102" max="15108" width="4.140625" style="1" customWidth="1"/>
    <col min="15109" max="15109" width="4" style="1" customWidth="1"/>
    <col min="15110" max="15115" width="4.140625" style="1" customWidth="1"/>
    <col min="15116" max="15117" width="4.28515625" style="1" customWidth="1"/>
    <col min="15118" max="15118" width="15.42578125" style="1" customWidth="1"/>
    <col min="15119" max="15119" width="1.42578125" style="1" customWidth="1"/>
    <col min="15120" max="15355" width="0" style="1" hidden="1"/>
    <col min="15356" max="15356" width="1.85546875" style="1" customWidth="1"/>
    <col min="15357" max="15357" width="3.140625" style="1" customWidth="1"/>
    <col min="15358" max="15364" width="4.140625" style="1" customWidth="1"/>
    <col min="15365" max="15365" width="4" style="1" customWidth="1"/>
    <col min="15366" max="15371" width="4.140625" style="1" customWidth="1"/>
    <col min="15372" max="15373" width="4.28515625" style="1" customWidth="1"/>
    <col min="15374" max="15374" width="15.42578125" style="1" customWidth="1"/>
    <col min="15375" max="15375" width="1.42578125" style="1" customWidth="1"/>
    <col min="15376" max="15611" width="0" style="1" hidden="1"/>
    <col min="15612" max="15612" width="1.85546875" style="1" customWidth="1"/>
    <col min="15613" max="15613" width="3.140625" style="1" customWidth="1"/>
    <col min="15614" max="15620" width="4.140625" style="1" customWidth="1"/>
    <col min="15621" max="15621" width="4" style="1" customWidth="1"/>
    <col min="15622" max="15627" width="4.140625" style="1" customWidth="1"/>
    <col min="15628" max="15629" width="4.28515625" style="1" customWidth="1"/>
    <col min="15630" max="15630" width="15.42578125" style="1" customWidth="1"/>
    <col min="15631" max="15631" width="1.42578125" style="1" customWidth="1"/>
    <col min="15632" max="15867" width="0" style="1" hidden="1"/>
    <col min="15868" max="15868" width="1.85546875" style="1" customWidth="1"/>
    <col min="15869" max="15869" width="3.140625" style="1" customWidth="1"/>
    <col min="15870" max="15876" width="4.140625" style="1" customWidth="1"/>
    <col min="15877" max="15877" width="4" style="1" customWidth="1"/>
    <col min="15878" max="15883" width="4.140625" style="1" customWidth="1"/>
    <col min="15884" max="15885" width="4.28515625" style="1" customWidth="1"/>
    <col min="15886" max="15886" width="15.42578125" style="1" customWidth="1"/>
    <col min="15887" max="15887" width="1.42578125" style="1" customWidth="1"/>
    <col min="15888" max="16123" width="0" style="1" hidden="1"/>
    <col min="16124" max="16124" width="1.85546875" style="1" customWidth="1"/>
    <col min="16125" max="16125" width="3.140625" style="1" customWidth="1"/>
    <col min="16126" max="16132" width="4.140625" style="1" customWidth="1"/>
    <col min="16133" max="16133" width="4" style="1" customWidth="1"/>
    <col min="16134" max="16139" width="4.140625" style="1" customWidth="1"/>
    <col min="16140" max="16141" width="4.28515625" style="1" customWidth="1"/>
    <col min="16142" max="16142" width="15.42578125" style="1" customWidth="1"/>
    <col min="16143" max="16143" width="1.42578125" style="1" customWidth="1"/>
    <col min="16144" max="16384" width="0" style="1" hidden="1"/>
  </cols>
  <sheetData>
    <row r="1" spans="1:15" s="4" customFormat="1" ht="25.5" customHeight="1">
      <c r="A1" s="7"/>
      <c r="B1" s="241" t="s">
        <v>56</v>
      </c>
      <c r="C1" s="241" t="s">
        <v>57</v>
      </c>
      <c r="D1" s="243" t="s">
        <v>59</v>
      </c>
      <c r="E1" s="207" t="s">
        <v>259</v>
      </c>
      <c r="F1" s="207"/>
      <c r="G1" s="207"/>
      <c r="H1" s="207"/>
      <c r="I1" s="207"/>
      <c r="J1" s="207"/>
      <c r="K1" s="207"/>
      <c r="L1" s="207"/>
      <c r="M1" s="207"/>
      <c r="N1" s="207"/>
      <c r="O1" s="7"/>
    </row>
    <row r="2" spans="1:15" s="4" customFormat="1" ht="25.5" customHeight="1">
      <c r="A2" s="7"/>
      <c r="B2" s="241"/>
      <c r="C2" s="241"/>
      <c r="D2" s="243"/>
      <c r="E2" s="248">
        <v>1</v>
      </c>
      <c r="F2" s="248">
        <v>2</v>
      </c>
      <c r="G2" s="248">
        <v>3</v>
      </c>
      <c r="H2" s="248">
        <v>4</v>
      </c>
      <c r="I2" s="248">
        <v>5</v>
      </c>
      <c r="J2" s="248">
        <v>6</v>
      </c>
      <c r="K2" s="248">
        <v>7</v>
      </c>
      <c r="L2" s="248">
        <v>8</v>
      </c>
      <c r="M2" s="248" t="s">
        <v>260</v>
      </c>
      <c r="N2" s="249" t="s">
        <v>17</v>
      </c>
      <c r="O2" s="7"/>
    </row>
    <row r="3" spans="1:15" s="4" customFormat="1" ht="18" customHeight="1">
      <c r="A3" s="7"/>
      <c r="B3" s="241"/>
      <c r="C3" s="241"/>
      <c r="D3" s="243"/>
      <c r="E3" s="248"/>
      <c r="F3" s="248"/>
      <c r="G3" s="248"/>
      <c r="H3" s="248"/>
      <c r="I3" s="248"/>
      <c r="J3" s="248"/>
      <c r="K3" s="248"/>
      <c r="L3" s="248"/>
      <c r="M3" s="248"/>
      <c r="N3" s="249"/>
      <c r="O3" s="7"/>
    </row>
    <row r="4" spans="1:15" s="4" customFormat="1" ht="18" customHeight="1">
      <c r="A4" s="7"/>
      <c r="B4" s="241"/>
      <c r="C4" s="241"/>
      <c r="D4" s="243"/>
      <c r="E4" s="167">
        <v>10</v>
      </c>
      <c r="F4" s="167">
        <v>10</v>
      </c>
      <c r="G4" s="167">
        <v>10</v>
      </c>
      <c r="H4" s="167">
        <v>10</v>
      </c>
      <c r="I4" s="167">
        <v>10</v>
      </c>
      <c r="J4" s="167">
        <v>10</v>
      </c>
      <c r="K4" s="167">
        <v>10</v>
      </c>
      <c r="L4" s="167">
        <v>10</v>
      </c>
      <c r="M4" s="37">
        <f>IF(SUM(E4:L4)&gt;0,SUM(E4:L4),"")</f>
        <v>80</v>
      </c>
      <c r="N4" s="249"/>
      <c r="O4" s="7"/>
    </row>
    <row r="5" spans="1:15" s="36" customFormat="1" ht="18" customHeight="1">
      <c r="A5" s="35"/>
      <c r="B5" s="120">
        <v>1</v>
      </c>
      <c r="C5" s="121">
        <v>1743</v>
      </c>
      <c r="D5" s="136" t="str">
        <f>ข้อมูลเด็ก!F6</f>
        <v>เด็กชายปัณณวิชญ์   เปรียงพรม</v>
      </c>
      <c r="E5" s="130">
        <v>10</v>
      </c>
      <c r="F5" s="130">
        <v>10</v>
      </c>
      <c r="G5" s="130">
        <v>10</v>
      </c>
      <c r="H5" s="130">
        <v>9</v>
      </c>
      <c r="I5" s="130">
        <v>9</v>
      </c>
      <c r="J5" s="130">
        <v>10</v>
      </c>
      <c r="K5" s="130">
        <v>10</v>
      </c>
      <c r="L5" s="130">
        <v>10</v>
      </c>
      <c r="M5" s="130">
        <f>SUM(E5:L5)</f>
        <v>78</v>
      </c>
      <c r="N5" s="131" t="str">
        <f>IF(M5&gt;=70, "ดีเยี่ยม", IF(M5&gt;=60, "ดี", IF(M5&gt;=50, "ผ่านเกณฑ์", "ไม่ผ่าน")))</f>
        <v>ดีเยี่ยม</v>
      </c>
      <c r="O5" s="35"/>
    </row>
    <row r="6" spans="1:15" s="36" customFormat="1" ht="18" customHeight="1">
      <c r="A6" s="35"/>
      <c r="B6" s="120">
        <v>2</v>
      </c>
      <c r="C6" s="121">
        <v>1744</v>
      </c>
      <c r="D6" s="136" t="str">
        <f>ข้อมูลเด็ก!F7</f>
        <v>เด็กชายรัชชานนท์  เทียมกลาง</v>
      </c>
      <c r="E6" s="130">
        <v>9</v>
      </c>
      <c r="F6" s="130">
        <v>8</v>
      </c>
      <c r="G6" s="130">
        <v>8</v>
      </c>
      <c r="H6" s="130">
        <v>9</v>
      </c>
      <c r="I6" s="130">
        <v>9</v>
      </c>
      <c r="J6" s="130">
        <v>8</v>
      </c>
      <c r="K6" s="130">
        <v>9</v>
      </c>
      <c r="L6" s="130">
        <v>8</v>
      </c>
      <c r="M6" s="130">
        <f t="shared" ref="M6:M16" si="0">SUM(E6:L6)</f>
        <v>68</v>
      </c>
      <c r="N6" s="131" t="str">
        <f t="shared" ref="N6:N16" si="1">IF(M6&gt;=70, "ดีเยี่ยม", IF(M6&gt;=60, "ดี", IF(M6&gt;=50, "ผ่านเกณฑ์", "ไม่ผ่าน")))</f>
        <v>ดี</v>
      </c>
      <c r="O6" s="35"/>
    </row>
    <row r="7" spans="1:15" s="36" customFormat="1" ht="18" customHeight="1">
      <c r="A7" s="35"/>
      <c r="B7" s="120">
        <v>3</v>
      </c>
      <c r="C7" s="121">
        <v>1745</v>
      </c>
      <c r="D7" s="136" t="str">
        <f>ข้อมูลเด็ก!F8</f>
        <v>เด็กชายรณกฤต  สองเมือง</v>
      </c>
      <c r="E7" s="130">
        <v>8</v>
      </c>
      <c r="F7" s="130">
        <v>8</v>
      </c>
      <c r="G7" s="130">
        <v>8</v>
      </c>
      <c r="H7" s="130">
        <v>10</v>
      </c>
      <c r="I7" s="130">
        <v>9</v>
      </c>
      <c r="J7" s="130">
        <v>8</v>
      </c>
      <c r="K7" s="130">
        <v>9</v>
      </c>
      <c r="L7" s="130">
        <v>8</v>
      </c>
      <c r="M7" s="130">
        <f t="shared" si="0"/>
        <v>68</v>
      </c>
      <c r="N7" s="131" t="str">
        <f t="shared" si="1"/>
        <v>ดี</v>
      </c>
      <c r="O7" s="35"/>
    </row>
    <row r="8" spans="1:15" s="36" customFormat="1" ht="18" customHeight="1">
      <c r="A8" s="35"/>
      <c r="B8" s="120">
        <v>4</v>
      </c>
      <c r="C8" s="121">
        <v>1746</v>
      </c>
      <c r="D8" s="136" t="str">
        <f>ข้อมูลเด็ก!F9</f>
        <v>เด็กหญิงกรรณิการ์  คงสุดี</v>
      </c>
      <c r="E8" s="130">
        <v>10</v>
      </c>
      <c r="F8" s="130">
        <v>10</v>
      </c>
      <c r="G8" s="130">
        <v>9</v>
      </c>
      <c r="H8" s="130">
        <v>10</v>
      </c>
      <c r="I8" s="130">
        <v>10</v>
      </c>
      <c r="J8" s="130">
        <v>9</v>
      </c>
      <c r="K8" s="130">
        <v>10</v>
      </c>
      <c r="L8" s="130">
        <v>10</v>
      </c>
      <c r="M8" s="130">
        <f t="shared" si="0"/>
        <v>78</v>
      </c>
      <c r="N8" s="131" t="str">
        <f t="shared" si="1"/>
        <v>ดีเยี่ยม</v>
      </c>
      <c r="O8" s="35"/>
    </row>
    <row r="9" spans="1:15" s="36" customFormat="1" ht="18" customHeight="1">
      <c r="A9" s="35"/>
      <c r="B9" s="120">
        <v>5</v>
      </c>
      <c r="C9" s="121">
        <v>1747</v>
      </c>
      <c r="D9" s="136" t="str">
        <f>ข้อมูลเด็ก!F10</f>
        <v>เด็กหญิงชญานิศ  พันธุเมฆ</v>
      </c>
      <c r="E9" s="130">
        <v>8</v>
      </c>
      <c r="F9" s="130">
        <v>8</v>
      </c>
      <c r="G9" s="130">
        <v>9</v>
      </c>
      <c r="H9" s="130">
        <v>9</v>
      </c>
      <c r="I9" s="130">
        <v>8</v>
      </c>
      <c r="J9" s="130">
        <v>9</v>
      </c>
      <c r="K9" s="130">
        <v>8</v>
      </c>
      <c r="L9" s="130">
        <v>9</v>
      </c>
      <c r="M9" s="130">
        <f t="shared" si="0"/>
        <v>68</v>
      </c>
      <c r="N9" s="131" t="str">
        <f t="shared" si="1"/>
        <v>ดี</v>
      </c>
      <c r="O9" s="35"/>
    </row>
    <row r="10" spans="1:15" s="36" customFormat="1" ht="18" customHeight="1">
      <c r="A10" s="35"/>
      <c r="B10" s="120">
        <v>6</v>
      </c>
      <c r="C10" s="121">
        <v>1748</v>
      </c>
      <c r="D10" s="136" t="str">
        <f>ข้อมูลเด็ก!F11</f>
        <v>เด็กหญิงปนัดดา  โพธิสุวรรณ</v>
      </c>
      <c r="E10" s="130">
        <v>10</v>
      </c>
      <c r="F10" s="130">
        <v>9</v>
      </c>
      <c r="G10" s="130">
        <v>10</v>
      </c>
      <c r="H10" s="130">
        <v>9</v>
      </c>
      <c r="I10" s="130">
        <v>9</v>
      </c>
      <c r="J10" s="130">
        <v>10</v>
      </c>
      <c r="K10" s="130">
        <v>9</v>
      </c>
      <c r="L10" s="130">
        <v>10</v>
      </c>
      <c r="M10" s="130">
        <f t="shared" si="0"/>
        <v>76</v>
      </c>
      <c r="N10" s="131" t="str">
        <f t="shared" si="1"/>
        <v>ดีเยี่ยม</v>
      </c>
      <c r="O10" s="35"/>
    </row>
    <row r="11" spans="1:15" s="36" customFormat="1" ht="18" customHeight="1">
      <c r="A11" s="35"/>
      <c r="B11" s="120">
        <v>7</v>
      </c>
      <c r="C11" s="121">
        <v>1749</v>
      </c>
      <c r="D11" s="136" t="str">
        <f>ข้อมูลเด็ก!F12</f>
        <v>เด็กหญิงรุ่งนภา  ผดุงภักดี</v>
      </c>
      <c r="E11" s="130">
        <v>9</v>
      </c>
      <c r="F11" s="130">
        <v>9</v>
      </c>
      <c r="G11" s="130">
        <v>10</v>
      </c>
      <c r="H11" s="130">
        <v>9</v>
      </c>
      <c r="I11" s="130">
        <v>10</v>
      </c>
      <c r="J11" s="130">
        <v>9</v>
      </c>
      <c r="K11" s="130">
        <v>10</v>
      </c>
      <c r="L11" s="130">
        <v>10</v>
      </c>
      <c r="M11" s="130">
        <f t="shared" si="0"/>
        <v>76</v>
      </c>
      <c r="N11" s="131" t="str">
        <f t="shared" si="1"/>
        <v>ดีเยี่ยม</v>
      </c>
      <c r="O11" s="35"/>
    </row>
    <row r="12" spans="1:15" s="36" customFormat="1" ht="18" customHeight="1">
      <c r="A12" s="35"/>
      <c r="B12" s="120">
        <v>8</v>
      </c>
      <c r="C12" s="121">
        <v>1750</v>
      </c>
      <c r="D12" s="136" t="str">
        <f>ข้อมูลเด็ก!F13</f>
        <v>เด็กหญิงพิมพิ์พิชชา  มะลิมาตย์</v>
      </c>
      <c r="E12" s="130">
        <v>10</v>
      </c>
      <c r="F12" s="130">
        <v>9</v>
      </c>
      <c r="G12" s="130">
        <v>10</v>
      </c>
      <c r="H12" s="130">
        <v>10</v>
      </c>
      <c r="I12" s="130">
        <v>9</v>
      </c>
      <c r="J12" s="130">
        <v>10</v>
      </c>
      <c r="K12" s="130">
        <v>9</v>
      </c>
      <c r="L12" s="130">
        <v>10</v>
      </c>
      <c r="M12" s="130">
        <f t="shared" si="0"/>
        <v>77</v>
      </c>
      <c r="N12" s="131" t="str">
        <f t="shared" si="1"/>
        <v>ดีเยี่ยม</v>
      </c>
      <c r="O12" s="35"/>
    </row>
    <row r="13" spans="1:15" s="36" customFormat="1" ht="18" customHeight="1">
      <c r="A13" s="35"/>
      <c r="B13" s="120">
        <v>9</v>
      </c>
      <c r="C13" s="121">
        <v>1751</v>
      </c>
      <c r="D13" s="136" t="str">
        <f>ข้อมูลเด็ก!F14</f>
        <v>เด็กหญิงพิมพ์รดา  เม้าราษี</v>
      </c>
      <c r="E13" s="130">
        <v>9</v>
      </c>
      <c r="F13" s="130">
        <v>10</v>
      </c>
      <c r="G13" s="130">
        <v>10</v>
      </c>
      <c r="H13" s="130">
        <v>10</v>
      </c>
      <c r="I13" s="130">
        <v>10</v>
      </c>
      <c r="J13" s="130">
        <v>9</v>
      </c>
      <c r="K13" s="130">
        <v>9</v>
      </c>
      <c r="L13" s="130">
        <v>10</v>
      </c>
      <c r="M13" s="130">
        <f t="shared" si="0"/>
        <v>77</v>
      </c>
      <c r="N13" s="131" t="str">
        <f t="shared" si="1"/>
        <v>ดีเยี่ยม</v>
      </c>
      <c r="O13" s="35"/>
    </row>
    <row r="14" spans="1:15" s="36" customFormat="1" ht="18" customHeight="1">
      <c r="A14" s="35"/>
      <c r="B14" s="120">
        <v>10</v>
      </c>
      <c r="C14" s="149">
        <v>1752</v>
      </c>
      <c r="D14" s="136" t="str">
        <f>ข้อมูลเด็ก!F15</f>
        <v>เด็กหญิงศศิวิมล  ธนูทอง</v>
      </c>
      <c r="E14" s="130">
        <v>10</v>
      </c>
      <c r="F14" s="130">
        <v>10</v>
      </c>
      <c r="G14" s="130">
        <v>9</v>
      </c>
      <c r="H14" s="130">
        <v>9</v>
      </c>
      <c r="I14" s="130">
        <v>9</v>
      </c>
      <c r="J14" s="130">
        <v>10</v>
      </c>
      <c r="K14" s="130">
        <v>9</v>
      </c>
      <c r="L14" s="130">
        <v>10</v>
      </c>
      <c r="M14" s="130">
        <f t="shared" si="0"/>
        <v>76</v>
      </c>
      <c r="N14" s="131" t="str">
        <f t="shared" si="1"/>
        <v>ดีเยี่ยม</v>
      </c>
      <c r="O14" s="35"/>
    </row>
    <row r="15" spans="1:15" s="36" customFormat="1" ht="18" customHeight="1">
      <c r="A15" s="35"/>
      <c r="B15" s="120">
        <v>11</v>
      </c>
      <c r="C15" s="121">
        <v>1753</v>
      </c>
      <c r="D15" s="136" t="str">
        <f>ข้อมูลเด็ก!F16</f>
        <v>เด็กชายปัณณวิชญ์   พันธ์เดช</v>
      </c>
      <c r="E15" s="130">
        <v>9</v>
      </c>
      <c r="F15" s="130">
        <v>10</v>
      </c>
      <c r="G15" s="130">
        <v>9</v>
      </c>
      <c r="H15" s="130">
        <v>9</v>
      </c>
      <c r="I15" s="130">
        <v>10</v>
      </c>
      <c r="J15" s="130">
        <v>9</v>
      </c>
      <c r="K15" s="130">
        <v>9</v>
      </c>
      <c r="L15" s="130">
        <v>9</v>
      </c>
      <c r="M15" s="130">
        <f t="shared" si="0"/>
        <v>74</v>
      </c>
      <c r="N15" s="131" t="str">
        <f t="shared" si="1"/>
        <v>ดีเยี่ยม</v>
      </c>
      <c r="O15" s="35"/>
    </row>
    <row r="16" spans="1:15" s="36" customFormat="1" ht="18" customHeight="1">
      <c r="A16" s="35"/>
      <c r="B16" s="120">
        <v>12</v>
      </c>
      <c r="C16" s="121">
        <v>1764</v>
      </c>
      <c r="D16" s="136" t="str">
        <f>ข้อมูลเด็ก!F17</f>
        <v>เด็กหญิงสุชาดา  ชมภูนาค</v>
      </c>
      <c r="E16" s="130">
        <v>8</v>
      </c>
      <c r="F16" s="130">
        <v>9</v>
      </c>
      <c r="G16" s="130">
        <v>9</v>
      </c>
      <c r="H16" s="130">
        <v>8</v>
      </c>
      <c r="I16" s="130">
        <v>9</v>
      </c>
      <c r="J16" s="130">
        <v>8</v>
      </c>
      <c r="K16" s="130">
        <v>9</v>
      </c>
      <c r="L16" s="130">
        <v>8</v>
      </c>
      <c r="M16" s="130">
        <f t="shared" si="0"/>
        <v>68</v>
      </c>
      <c r="N16" s="131" t="str">
        <f t="shared" si="1"/>
        <v>ดี</v>
      </c>
      <c r="O16" s="35"/>
    </row>
    <row r="17" spans="1:15" s="36" customFormat="1" ht="18" customHeight="1">
      <c r="A17" s="35"/>
      <c r="B17" s="120">
        <v>13</v>
      </c>
      <c r="C17" s="121">
        <v>1763</v>
      </c>
      <c r="D17" s="136" t="str">
        <f>ข้อมูลเด็ก!F18</f>
        <v>เด็กหญิงอริสา วรเลิศ</v>
      </c>
      <c r="E17" s="130">
        <v>8</v>
      </c>
      <c r="F17" s="130">
        <v>9</v>
      </c>
      <c r="G17" s="130">
        <v>9</v>
      </c>
      <c r="H17" s="130">
        <v>9</v>
      </c>
      <c r="I17" s="130">
        <v>9</v>
      </c>
      <c r="J17" s="130">
        <v>9</v>
      </c>
      <c r="K17" s="130">
        <v>8</v>
      </c>
      <c r="L17" s="130">
        <v>8</v>
      </c>
      <c r="M17" s="130">
        <f t="shared" ref="M17" si="2">SUM(E17:L17)</f>
        <v>69</v>
      </c>
      <c r="N17" s="131" t="str">
        <f t="shared" ref="N17" si="3">IF(M17&gt;=70, "ดีเยี่ยม", IF(M17&gt;=60, "ดี", IF(M17&gt;=50, "ผ่านเกณฑ์", "ไม่ผ่าน")))</f>
        <v>ดี</v>
      </c>
      <c r="O17" s="35"/>
    </row>
    <row r="18" spans="1:15" ht="18.75">
      <c r="B18" s="248" t="s">
        <v>259</v>
      </c>
      <c r="C18" s="248"/>
      <c r="D18" s="248"/>
      <c r="E18" s="248"/>
      <c r="F18" s="248"/>
      <c r="G18" s="248"/>
      <c r="H18" s="248"/>
      <c r="I18" s="248" t="s">
        <v>261</v>
      </c>
      <c r="J18" s="248"/>
      <c r="K18" s="248"/>
      <c r="L18" s="248"/>
      <c r="M18" s="248"/>
      <c r="N18" s="248"/>
    </row>
    <row r="19" spans="1:15" ht="18.75">
      <c r="B19" s="42"/>
      <c r="C19" s="9" t="s">
        <v>262</v>
      </c>
      <c r="D19" s="20"/>
      <c r="E19" s="9" t="s">
        <v>263</v>
      </c>
      <c r="F19" s="18"/>
      <c r="G19" s="9"/>
      <c r="H19" s="41"/>
      <c r="I19" s="42"/>
      <c r="J19" s="9" t="s">
        <v>264</v>
      </c>
      <c r="K19" s="9"/>
      <c r="L19" s="11"/>
      <c r="M19" s="11" t="s">
        <v>23</v>
      </c>
      <c r="N19" s="41"/>
    </row>
    <row r="20" spans="1:15" ht="18.75">
      <c r="B20" s="44"/>
      <c r="C20" s="9" t="s">
        <v>265</v>
      </c>
      <c r="D20" s="4"/>
      <c r="E20" s="9" t="s">
        <v>266</v>
      </c>
      <c r="F20" s="9"/>
      <c r="G20" s="9"/>
      <c r="H20" s="43"/>
      <c r="I20" s="44"/>
      <c r="J20" s="9" t="s">
        <v>267</v>
      </c>
      <c r="K20" s="9"/>
      <c r="L20" s="11"/>
      <c r="M20" s="11" t="s">
        <v>268</v>
      </c>
      <c r="N20" s="43"/>
    </row>
    <row r="21" spans="1:15" ht="18.75">
      <c r="B21" s="44"/>
      <c r="C21" s="9" t="s">
        <v>269</v>
      </c>
      <c r="D21" s="4"/>
      <c r="E21" s="9" t="s">
        <v>270</v>
      </c>
      <c r="F21" s="9"/>
      <c r="G21" s="9"/>
      <c r="H21" s="43"/>
      <c r="I21" s="44"/>
      <c r="J21" s="9" t="s">
        <v>271</v>
      </c>
      <c r="K21" s="9"/>
      <c r="L21" s="11"/>
      <c r="M21" s="11" t="s">
        <v>157</v>
      </c>
      <c r="N21" s="43"/>
    </row>
    <row r="22" spans="1:15" ht="18.75">
      <c r="B22" s="46"/>
      <c r="C22" s="38" t="s">
        <v>272</v>
      </c>
      <c r="D22" s="39"/>
      <c r="E22" s="38" t="s">
        <v>273</v>
      </c>
      <c r="F22" s="38"/>
      <c r="G22" s="38"/>
      <c r="H22" s="45"/>
      <c r="I22" s="46"/>
      <c r="J22" s="38" t="s">
        <v>274</v>
      </c>
      <c r="K22" s="38"/>
      <c r="L22" s="40"/>
      <c r="M22" s="40" t="s">
        <v>156</v>
      </c>
      <c r="N22" s="45"/>
    </row>
  </sheetData>
  <protectedRanges>
    <protectedRange sqref="E4:L17" name="ช่วง1"/>
  </protectedRanges>
  <mergeCells count="16">
    <mergeCell ref="B18:H18"/>
    <mergeCell ref="I18:N18"/>
    <mergeCell ref="M2:M3"/>
    <mergeCell ref="B1:B4"/>
    <mergeCell ref="C1:C4"/>
    <mergeCell ref="D1:D4"/>
    <mergeCell ref="E1:N1"/>
    <mergeCell ref="L2:L3"/>
    <mergeCell ref="K2:K3"/>
    <mergeCell ref="J2:J3"/>
    <mergeCell ref="I2:I3"/>
    <mergeCell ref="H2:H3"/>
    <mergeCell ref="G2:G3"/>
    <mergeCell ref="F2:F3"/>
    <mergeCell ref="E2:E3"/>
    <mergeCell ref="N2:N4"/>
  </mergeCells>
  <dataValidations count="1">
    <dataValidation type="list" allowBlank="1" showInputMessage="1" showErrorMessage="1" sqref="D5:D17" xr:uid="{20EB7601-FCF8-478B-B2E4-D40C6E015E75}">
      <formula1>list</formula1>
    </dataValidation>
  </dataValidations>
  <printOptions horizontalCentered="1"/>
  <pageMargins left="0.51181102362204722" right="0" top="0.39370078740157483" bottom="0" header="0.31496062992125984" footer="0.31496062992125984"/>
  <pageSetup paperSize="9" scale="95"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"/>
  <sheetViews>
    <sheetView tabSelected="1" view="pageBreakPreview" topLeftCell="A10" zoomScale="92" zoomScaleNormal="100" zoomScaleSheetLayoutView="92" workbookViewId="0">
      <selection activeCell="D5" sqref="D5"/>
    </sheetView>
  </sheetViews>
  <sheetFormatPr defaultColWidth="0" defaultRowHeight="15"/>
  <cols>
    <col min="1" max="1" width="5.5703125" style="1" customWidth="1"/>
    <col min="2" max="2" width="9.85546875" style="1" customWidth="1"/>
    <col min="3" max="3" width="27.85546875" style="1" customWidth="1"/>
    <col min="4" max="13" width="3.85546875" style="1" customWidth="1"/>
    <col min="14" max="14" width="5.7109375" style="1" customWidth="1"/>
    <col min="15" max="15" width="10" style="1" customWidth="1"/>
    <col min="16" max="16" width="1.42578125" style="1" customWidth="1"/>
    <col min="17" max="252" width="9" style="1" customWidth="1"/>
    <col min="253" max="253" width="1.85546875" style="1" customWidth="1"/>
    <col min="254" max="254" width="3.140625" style="1" customWidth="1"/>
    <col min="255" max="261" width="4.140625" style="1" customWidth="1"/>
    <col min="262" max="262" width="4" style="1" customWidth="1"/>
    <col min="263" max="268" width="4.140625" style="1" customWidth="1"/>
    <col min="269" max="270" width="4.28515625" style="1" customWidth="1"/>
    <col min="271" max="271" width="15.42578125" style="1" customWidth="1"/>
    <col min="272" max="272" width="1.42578125" style="1" customWidth="1"/>
    <col min="273" max="508" width="0" style="1" hidden="1"/>
    <col min="509" max="509" width="1.85546875" style="1" customWidth="1"/>
    <col min="510" max="510" width="3.140625" style="1" customWidth="1"/>
    <col min="511" max="517" width="4.140625" style="1" customWidth="1"/>
    <col min="518" max="518" width="4" style="1" customWidth="1"/>
    <col min="519" max="524" width="4.140625" style="1" customWidth="1"/>
    <col min="525" max="526" width="4.28515625" style="1" customWidth="1"/>
    <col min="527" max="527" width="15.42578125" style="1" customWidth="1"/>
    <col min="528" max="528" width="1.42578125" style="1" customWidth="1"/>
    <col min="529" max="764" width="0" style="1" hidden="1"/>
    <col min="765" max="765" width="1.85546875" style="1" customWidth="1"/>
    <col min="766" max="766" width="3.140625" style="1" customWidth="1"/>
    <col min="767" max="773" width="4.140625" style="1" customWidth="1"/>
    <col min="774" max="774" width="4" style="1" customWidth="1"/>
    <col min="775" max="780" width="4.140625" style="1" customWidth="1"/>
    <col min="781" max="782" width="4.28515625" style="1" customWidth="1"/>
    <col min="783" max="783" width="15.42578125" style="1" customWidth="1"/>
    <col min="784" max="784" width="1.42578125" style="1" customWidth="1"/>
    <col min="785" max="1020" width="0" style="1" hidden="1"/>
    <col min="1021" max="1021" width="1.85546875" style="1" customWidth="1"/>
    <col min="1022" max="1022" width="3.140625" style="1" customWidth="1"/>
    <col min="1023" max="1029" width="4.140625" style="1" customWidth="1"/>
    <col min="1030" max="1030" width="4" style="1" customWidth="1"/>
    <col min="1031" max="1036" width="4.140625" style="1" customWidth="1"/>
    <col min="1037" max="1038" width="4.28515625" style="1" customWidth="1"/>
    <col min="1039" max="1039" width="15.42578125" style="1" customWidth="1"/>
    <col min="1040" max="1040" width="1.42578125" style="1" customWidth="1"/>
    <col min="1041" max="1276" width="0" style="1" hidden="1"/>
    <col min="1277" max="1277" width="1.85546875" style="1" customWidth="1"/>
    <col min="1278" max="1278" width="3.140625" style="1" customWidth="1"/>
    <col min="1279" max="1285" width="4.140625" style="1" customWidth="1"/>
    <col min="1286" max="1286" width="4" style="1" customWidth="1"/>
    <col min="1287" max="1292" width="4.140625" style="1" customWidth="1"/>
    <col min="1293" max="1294" width="4.28515625" style="1" customWidth="1"/>
    <col min="1295" max="1295" width="15.42578125" style="1" customWidth="1"/>
    <col min="1296" max="1296" width="1.42578125" style="1" customWidth="1"/>
    <col min="1297" max="1532" width="0" style="1" hidden="1"/>
    <col min="1533" max="1533" width="1.85546875" style="1" customWidth="1"/>
    <col min="1534" max="1534" width="3.140625" style="1" customWidth="1"/>
    <col min="1535" max="1541" width="4.140625" style="1" customWidth="1"/>
    <col min="1542" max="1542" width="4" style="1" customWidth="1"/>
    <col min="1543" max="1548" width="4.140625" style="1" customWidth="1"/>
    <col min="1549" max="1550" width="4.28515625" style="1" customWidth="1"/>
    <col min="1551" max="1551" width="15.42578125" style="1" customWidth="1"/>
    <col min="1552" max="1552" width="1.42578125" style="1" customWidth="1"/>
    <col min="1553" max="1788" width="0" style="1" hidden="1"/>
    <col min="1789" max="1789" width="1.85546875" style="1" customWidth="1"/>
    <col min="1790" max="1790" width="3.140625" style="1" customWidth="1"/>
    <col min="1791" max="1797" width="4.140625" style="1" customWidth="1"/>
    <col min="1798" max="1798" width="4" style="1" customWidth="1"/>
    <col min="1799" max="1804" width="4.140625" style="1" customWidth="1"/>
    <col min="1805" max="1806" width="4.28515625" style="1" customWidth="1"/>
    <col min="1807" max="1807" width="15.42578125" style="1" customWidth="1"/>
    <col min="1808" max="1808" width="1.42578125" style="1" customWidth="1"/>
    <col min="1809" max="2044" width="0" style="1" hidden="1"/>
    <col min="2045" max="2045" width="1.85546875" style="1" customWidth="1"/>
    <col min="2046" max="2046" width="3.140625" style="1" customWidth="1"/>
    <col min="2047" max="2053" width="4.140625" style="1" customWidth="1"/>
    <col min="2054" max="2054" width="4" style="1" customWidth="1"/>
    <col min="2055" max="2060" width="4.140625" style="1" customWidth="1"/>
    <col min="2061" max="2062" width="4.28515625" style="1" customWidth="1"/>
    <col min="2063" max="2063" width="15.42578125" style="1" customWidth="1"/>
    <col min="2064" max="2064" width="1.42578125" style="1" customWidth="1"/>
    <col min="2065" max="2300" width="0" style="1" hidden="1"/>
    <col min="2301" max="2301" width="1.85546875" style="1" customWidth="1"/>
    <col min="2302" max="2302" width="3.140625" style="1" customWidth="1"/>
    <col min="2303" max="2309" width="4.140625" style="1" customWidth="1"/>
    <col min="2310" max="2310" width="4" style="1" customWidth="1"/>
    <col min="2311" max="2316" width="4.140625" style="1" customWidth="1"/>
    <col min="2317" max="2318" width="4.28515625" style="1" customWidth="1"/>
    <col min="2319" max="2319" width="15.42578125" style="1" customWidth="1"/>
    <col min="2320" max="2320" width="1.42578125" style="1" customWidth="1"/>
    <col min="2321" max="2556" width="0" style="1" hidden="1"/>
    <col min="2557" max="2557" width="1.85546875" style="1" customWidth="1"/>
    <col min="2558" max="2558" width="3.140625" style="1" customWidth="1"/>
    <col min="2559" max="2565" width="4.140625" style="1" customWidth="1"/>
    <col min="2566" max="2566" width="4" style="1" customWidth="1"/>
    <col min="2567" max="2572" width="4.140625" style="1" customWidth="1"/>
    <col min="2573" max="2574" width="4.28515625" style="1" customWidth="1"/>
    <col min="2575" max="2575" width="15.42578125" style="1" customWidth="1"/>
    <col min="2576" max="2576" width="1.42578125" style="1" customWidth="1"/>
    <col min="2577" max="2812" width="0" style="1" hidden="1"/>
    <col min="2813" max="2813" width="1.85546875" style="1" customWidth="1"/>
    <col min="2814" max="2814" width="3.140625" style="1" customWidth="1"/>
    <col min="2815" max="2821" width="4.140625" style="1" customWidth="1"/>
    <col min="2822" max="2822" width="4" style="1" customWidth="1"/>
    <col min="2823" max="2828" width="4.140625" style="1" customWidth="1"/>
    <col min="2829" max="2830" width="4.28515625" style="1" customWidth="1"/>
    <col min="2831" max="2831" width="15.42578125" style="1" customWidth="1"/>
    <col min="2832" max="2832" width="1.42578125" style="1" customWidth="1"/>
    <col min="2833" max="3068" width="0" style="1" hidden="1"/>
    <col min="3069" max="3069" width="1.85546875" style="1" customWidth="1"/>
    <col min="3070" max="3070" width="3.140625" style="1" customWidth="1"/>
    <col min="3071" max="3077" width="4.140625" style="1" customWidth="1"/>
    <col min="3078" max="3078" width="4" style="1" customWidth="1"/>
    <col min="3079" max="3084" width="4.140625" style="1" customWidth="1"/>
    <col min="3085" max="3086" width="4.28515625" style="1" customWidth="1"/>
    <col min="3087" max="3087" width="15.42578125" style="1" customWidth="1"/>
    <col min="3088" max="3088" width="1.42578125" style="1" customWidth="1"/>
    <col min="3089" max="3324" width="0" style="1" hidden="1"/>
    <col min="3325" max="3325" width="1.85546875" style="1" customWidth="1"/>
    <col min="3326" max="3326" width="3.140625" style="1" customWidth="1"/>
    <col min="3327" max="3333" width="4.140625" style="1" customWidth="1"/>
    <col min="3334" max="3334" width="4" style="1" customWidth="1"/>
    <col min="3335" max="3340" width="4.140625" style="1" customWidth="1"/>
    <col min="3341" max="3342" width="4.28515625" style="1" customWidth="1"/>
    <col min="3343" max="3343" width="15.42578125" style="1" customWidth="1"/>
    <col min="3344" max="3344" width="1.42578125" style="1" customWidth="1"/>
    <col min="3345" max="3580" width="0" style="1" hidden="1"/>
    <col min="3581" max="3581" width="1.85546875" style="1" customWidth="1"/>
    <col min="3582" max="3582" width="3.140625" style="1" customWidth="1"/>
    <col min="3583" max="3589" width="4.140625" style="1" customWidth="1"/>
    <col min="3590" max="3590" width="4" style="1" customWidth="1"/>
    <col min="3591" max="3596" width="4.140625" style="1" customWidth="1"/>
    <col min="3597" max="3598" width="4.28515625" style="1" customWidth="1"/>
    <col min="3599" max="3599" width="15.42578125" style="1" customWidth="1"/>
    <col min="3600" max="3600" width="1.42578125" style="1" customWidth="1"/>
    <col min="3601" max="3836" width="0" style="1" hidden="1"/>
    <col min="3837" max="3837" width="1.85546875" style="1" customWidth="1"/>
    <col min="3838" max="3838" width="3.140625" style="1" customWidth="1"/>
    <col min="3839" max="3845" width="4.140625" style="1" customWidth="1"/>
    <col min="3846" max="3846" width="4" style="1" customWidth="1"/>
    <col min="3847" max="3852" width="4.140625" style="1" customWidth="1"/>
    <col min="3853" max="3854" width="4.28515625" style="1" customWidth="1"/>
    <col min="3855" max="3855" width="15.42578125" style="1" customWidth="1"/>
    <col min="3856" max="3856" width="1.42578125" style="1" customWidth="1"/>
    <col min="3857" max="4092" width="0" style="1" hidden="1"/>
    <col min="4093" max="4093" width="1.85546875" style="1" customWidth="1"/>
    <col min="4094" max="4094" width="3.140625" style="1" customWidth="1"/>
    <col min="4095" max="4101" width="4.140625" style="1" customWidth="1"/>
    <col min="4102" max="4102" width="4" style="1" customWidth="1"/>
    <col min="4103" max="4108" width="4.140625" style="1" customWidth="1"/>
    <col min="4109" max="4110" width="4.28515625" style="1" customWidth="1"/>
    <col min="4111" max="4111" width="15.42578125" style="1" customWidth="1"/>
    <col min="4112" max="4112" width="1.42578125" style="1" customWidth="1"/>
    <col min="4113" max="4348" width="0" style="1" hidden="1"/>
    <col min="4349" max="4349" width="1.85546875" style="1" customWidth="1"/>
    <col min="4350" max="4350" width="3.140625" style="1" customWidth="1"/>
    <col min="4351" max="4357" width="4.140625" style="1" customWidth="1"/>
    <col min="4358" max="4358" width="4" style="1" customWidth="1"/>
    <col min="4359" max="4364" width="4.140625" style="1" customWidth="1"/>
    <col min="4365" max="4366" width="4.28515625" style="1" customWidth="1"/>
    <col min="4367" max="4367" width="15.42578125" style="1" customWidth="1"/>
    <col min="4368" max="4368" width="1.42578125" style="1" customWidth="1"/>
    <col min="4369" max="4604" width="0" style="1" hidden="1"/>
    <col min="4605" max="4605" width="1.85546875" style="1" customWidth="1"/>
    <col min="4606" max="4606" width="3.140625" style="1" customWidth="1"/>
    <col min="4607" max="4613" width="4.140625" style="1" customWidth="1"/>
    <col min="4614" max="4614" width="4" style="1" customWidth="1"/>
    <col min="4615" max="4620" width="4.140625" style="1" customWidth="1"/>
    <col min="4621" max="4622" width="4.28515625" style="1" customWidth="1"/>
    <col min="4623" max="4623" width="15.42578125" style="1" customWidth="1"/>
    <col min="4624" max="4624" width="1.42578125" style="1" customWidth="1"/>
    <col min="4625" max="4860" width="0" style="1" hidden="1"/>
    <col min="4861" max="4861" width="1.85546875" style="1" customWidth="1"/>
    <col min="4862" max="4862" width="3.140625" style="1" customWidth="1"/>
    <col min="4863" max="4869" width="4.140625" style="1" customWidth="1"/>
    <col min="4870" max="4870" width="4" style="1" customWidth="1"/>
    <col min="4871" max="4876" width="4.140625" style="1" customWidth="1"/>
    <col min="4877" max="4878" width="4.28515625" style="1" customWidth="1"/>
    <col min="4879" max="4879" width="15.42578125" style="1" customWidth="1"/>
    <col min="4880" max="4880" width="1.42578125" style="1" customWidth="1"/>
    <col min="4881" max="5116" width="0" style="1" hidden="1"/>
    <col min="5117" max="5117" width="1.85546875" style="1" customWidth="1"/>
    <col min="5118" max="5118" width="3.140625" style="1" customWidth="1"/>
    <col min="5119" max="5125" width="4.140625" style="1" customWidth="1"/>
    <col min="5126" max="5126" width="4" style="1" customWidth="1"/>
    <col min="5127" max="5132" width="4.140625" style="1" customWidth="1"/>
    <col min="5133" max="5134" width="4.28515625" style="1" customWidth="1"/>
    <col min="5135" max="5135" width="15.42578125" style="1" customWidth="1"/>
    <col min="5136" max="5136" width="1.42578125" style="1" customWidth="1"/>
    <col min="5137" max="5372" width="0" style="1" hidden="1"/>
    <col min="5373" max="5373" width="1.85546875" style="1" customWidth="1"/>
    <col min="5374" max="5374" width="3.140625" style="1" customWidth="1"/>
    <col min="5375" max="5381" width="4.140625" style="1" customWidth="1"/>
    <col min="5382" max="5382" width="4" style="1" customWidth="1"/>
    <col min="5383" max="5388" width="4.140625" style="1" customWidth="1"/>
    <col min="5389" max="5390" width="4.28515625" style="1" customWidth="1"/>
    <col min="5391" max="5391" width="15.42578125" style="1" customWidth="1"/>
    <col min="5392" max="5392" width="1.42578125" style="1" customWidth="1"/>
    <col min="5393" max="5628" width="0" style="1" hidden="1"/>
    <col min="5629" max="5629" width="1.85546875" style="1" customWidth="1"/>
    <col min="5630" max="5630" width="3.140625" style="1" customWidth="1"/>
    <col min="5631" max="5637" width="4.140625" style="1" customWidth="1"/>
    <col min="5638" max="5638" width="4" style="1" customWidth="1"/>
    <col min="5639" max="5644" width="4.140625" style="1" customWidth="1"/>
    <col min="5645" max="5646" width="4.28515625" style="1" customWidth="1"/>
    <col min="5647" max="5647" width="15.42578125" style="1" customWidth="1"/>
    <col min="5648" max="5648" width="1.42578125" style="1" customWidth="1"/>
    <col min="5649" max="5884" width="0" style="1" hidden="1"/>
    <col min="5885" max="5885" width="1.85546875" style="1" customWidth="1"/>
    <col min="5886" max="5886" width="3.140625" style="1" customWidth="1"/>
    <col min="5887" max="5893" width="4.140625" style="1" customWidth="1"/>
    <col min="5894" max="5894" width="4" style="1" customWidth="1"/>
    <col min="5895" max="5900" width="4.140625" style="1" customWidth="1"/>
    <col min="5901" max="5902" width="4.28515625" style="1" customWidth="1"/>
    <col min="5903" max="5903" width="15.42578125" style="1" customWidth="1"/>
    <col min="5904" max="5904" width="1.42578125" style="1" customWidth="1"/>
    <col min="5905" max="6140" width="0" style="1" hidden="1"/>
    <col min="6141" max="6141" width="1.85546875" style="1" customWidth="1"/>
    <col min="6142" max="6142" width="3.140625" style="1" customWidth="1"/>
    <col min="6143" max="6149" width="4.140625" style="1" customWidth="1"/>
    <col min="6150" max="6150" width="4" style="1" customWidth="1"/>
    <col min="6151" max="6156" width="4.140625" style="1" customWidth="1"/>
    <col min="6157" max="6158" width="4.28515625" style="1" customWidth="1"/>
    <col min="6159" max="6159" width="15.42578125" style="1" customWidth="1"/>
    <col min="6160" max="6160" width="1.42578125" style="1" customWidth="1"/>
    <col min="6161" max="6396" width="0" style="1" hidden="1"/>
    <col min="6397" max="6397" width="1.85546875" style="1" customWidth="1"/>
    <col min="6398" max="6398" width="3.140625" style="1" customWidth="1"/>
    <col min="6399" max="6405" width="4.140625" style="1" customWidth="1"/>
    <col min="6406" max="6406" width="4" style="1" customWidth="1"/>
    <col min="6407" max="6412" width="4.140625" style="1" customWidth="1"/>
    <col min="6413" max="6414" width="4.28515625" style="1" customWidth="1"/>
    <col min="6415" max="6415" width="15.42578125" style="1" customWidth="1"/>
    <col min="6416" max="6416" width="1.42578125" style="1" customWidth="1"/>
    <col min="6417" max="6652" width="0" style="1" hidden="1"/>
    <col min="6653" max="6653" width="1.85546875" style="1" customWidth="1"/>
    <col min="6654" max="6654" width="3.140625" style="1" customWidth="1"/>
    <col min="6655" max="6661" width="4.140625" style="1" customWidth="1"/>
    <col min="6662" max="6662" width="4" style="1" customWidth="1"/>
    <col min="6663" max="6668" width="4.140625" style="1" customWidth="1"/>
    <col min="6669" max="6670" width="4.28515625" style="1" customWidth="1"/>
    <col min="6671" max="6671" width="15.42578125" style="1" customWidth="1"/>
    <col min="6672" max="6672" width="1.42578125" style="1" customWidth="1"/>
    <col min="6673" max="6908" width="0" style="1" hidden="1"/>
    <col min="6909" max="6909" width="1.85546875" style="1" customWidth="1"/>
    <col min="6910" max="6910" width="3.140625" style="1" customWidth="1"/>
    <col min="6911" max="6917" width="4.140625" style="1" customWidth="1"/>
    <col min="6918" max="6918" width="4" style="1" customWidth="1"/>
    <col min="6919" max="6924" width="4.140625" style="1" customWidth="1"/>
    <col min="6925" max="6926" width="4.28515625" style="1" customWidth="1"/>
    <col min="6927" max="6927" width="15.42578125" style="1" customWidth="1"/>
    <col min="6928" max="6928" width="1.42578125" style="1" customWidth="1"/>
    <col min="6929" max="7164" width="0" style="1" hidden="1"/>
    <col min="7165" max="7165" width="1.85546875" style="1" customWidth="1"/>
    <col min="7166" max="7166" width="3.140625" style="1" customWidth="1"/>
    <col min="7167" max="7173" width="4.140625" style="1" customWidth="1"/>
    <col min="7174" max="7174" width="4" style="1" customWidth="1"/>
    <col min="7175" max="7180" width="4.140625" style="1" customWidth="1"/>
    <col min="7181" max="7182" width="4.28515625" style="1" customWidth="1"/>
    <col min="7183" max="7183" width="15.42578125" style="1" customWidth="1"/>
    <col min="7184" max="7184" width="1.42578125" style="1" customWidth="1"/>
    <col min="7185" max="7420" width="0" style="1" hidden="1"/>
    <col min="7421" max="7421" width="1.85546875" style="1" customWidth="1"/>
    <col min="7422" max="7422" width="3.140625" style="1" customWidth="1"/>
    <col min="7423" max="7429" width="4.140625" style="1" customWidth="1"/>
    <col min="7430" max="7430" width="4" style="1" customWidth="1"/>
    <col min="7431" max="7436" width="4.140625" style="1" customWidth="1"/>
    <col min="7437" max="7438" width="4.28515625" style="1" customWidth="1"/>
    <col min="7439" max="7439" width="15.42578125" style="1" customWidth="1"/>
    <col min="7440" max="7440" width="1.42578125" style="1" customWidth="1"/>
    <col min="7441" max="7676" width="0" style="1" hidden="1"/>
    <col min="7677" max="7677" width="1.85546875" style="1" customWidth="1"/>
    <col min="7678" max="7678" width="3.140625" style="1" customWidth="1"/>
    <col min="7679" max="7685" width="4.140625" style="1" customWidth="1"/>
    <col min="7686" max="7686" width="4" style="1" customWidth="1"/>
    <col min="7687" max="7692" width="4.140625" style="1" customWidth="1"/>
    <col min="7693" max="7694" width="4.28515625" style="1" customWidth="1"/>
    <col min="7695" max="7695" width="15.42578125" style="1" customWidth="1"/>
    <col min="7696" max="7696" width="1.42578125" style="1" customWidth="1"/>
    <col min="7697" max="7932" width="0" style="1" hidden="1"/>
    <col min="7933" max="7933" width="1.85546875" style="1" customWidth="1"/>
    <col min="7934" max="7934" width="3.140625" style="1" customWidth="1"/>
    <col min="7935" max="7941" width="4.140625" style="1" customWidth="1"/>
    <col min="7942" max="7942" width="4" style="1" customWidth="1"/>
    <col min="7943" max="7948" width="4.140625" style="1" customWidth="1"/>
    <col min="7949" max="7950" width="4.28515625" style="1" customWidth="1"/>
    <col min="7951" max="7951" width="15.42578125" style="1" customWidth="1"/>
    <col min="7952" max="7952" width="1.42578125" style="1" customWidth="1"/>
    <col min="7953" max="8188" width="0" style="1" hidden="1"/>
    <col min="8189" max="8189" width="1.85546875" style="1" customWidth="1"/>
    <col min="8190" max="8190" width="3.140625" style="1" customWidth="1"/>
    <col min="8191" max="8197" width="4.140625" style="1" customWidth="1"/>
    <col min="8198" max="8198" width="4" style="1" customWidth="1"/>
    <col min="8199" max="8204" width="4.140625" style="1" customWidth="1"/>
    <col min="8205" max="8206" width="4.28515625" style="1" customWidth="1"/>
    <col min="8207" max="8207" width="15.42578125" style="1" customWidth="1"/>
    <col min="8208" max="8208" width="1.42578125" style="1" customWidth="1"/>
    <col min="8209" max="8444" width="0" style="1" hidden="1"/>
    <col min="8445" max="8445" width="1.85546875" style="1" customWidth="1"/>
    <col min="8446" max="8446" width="3.140625" style="1" customWidth="1"/>
    <col min="8447" max="8453" width="4.140625" style="1" customWidth="1"/>
    <col min="8454" max="8454" width="4" style="1" customWidth="1"/>
    <col min="8455" max="8460" width="4.140625" style="1" customWidth="1"/>
    <col min="8461" max="8462" width="4.28515625" style="1" customWidth="1"/>
    <col min="8463" max="8463" width="15.42578125" style="1" customWidth="1"/>
    <col min="8464" max="8464" width="1.42578125" style="1" customWidth="1"/>
    <col min="8465" max="8700" width="0" style="1" hidden="1"/>
    <col min="8701" max="8701" width="1.85546875" style="1" customWidth="1"/>
    <col min="8702" max="8702" width="3.140625" style="1" customWidth="1"/>
    <col min="8703" max="8709" width="4.140625" style="1" customWidth="1"/>
    <col min="8710" max="8710" width="4" style="1" customWidth="1"/>
    <col min="8711" max="8716" width="4.140625" style="1" customWidth="1"/>
    <col min="8717" max="8718" width="4.28515625" style="1" customWidth="1"/>
    <col min="8719" max="8719" width="15.42578125" style="1" customWidth="1"/>
    <col min="8720" max="8720" width="1.42578125" style="1" customWidth="1"/>
    <col min="8721" max="8956" width="0" style="1" hidden="1"/>
    <col min="8957" max="8957" width="1.85546875" style="1" customWidth="1"/>
    <col min="8958" max="8958" width="3.140625" style="1" customWidth="1"/>
    <col min="8959" max="8965" width="4.140625" style="1" customWidth="1"/>
    <col min="8966" max="8966" width="4" style="1" customWidth="1"/>
    <col min="8967" max="8972" width="4.140625" style="1" customWidth="1"/>
    <col min="8973" max="8974" width="4.28515625" style="1" customWidth="1"/>
    <col min="8975" max="8975" width="15.42578125" style="1" customWidth="1"/>
    <col min="8976" max="8976" width="1.42578125" style="1" customWidth="1"/>
    <col min="8977" max="9212" width="0" style="1" hidden="1"/>
    <col min="9213" max="9213" width="1.85546875" style="1" customWidth="1"/>
    <col min="9214" max="9214" width="3.140625" style="1" customWidth="1"/>
    <col min="9215" max="9221" width="4.140625" style="1" customWidth="1"/>
    <col min="9222" max="9222" width="4" style="1" customWidth="1"/>
    <col min="9223" max="9228" width="4.140625" style="1" customWidth="1"/>
    <col min="9229" max="9230" width="4.28515625" style="1" customWidth="1"/>
    <col min="9231" max="9231" width="15.42578125" style="1" customWidth="1"/>
    <col min="9232" max="9232" width="1.42578125" style="1" customWidth="1"/>
    <col min="9233" max="9468" width="0" style="1" hidden="1"/>
    <col min="9469" max="9469" width="1.85546875" style="1" customWidth="1"/>
    <col min="9470" max="9470" width="3.140625" style="1" customWidth="1"/>
    <col min="9471" max="9477" width="4.140625" style="1" customWidth="1"/>
    <col min="9478" max="9478" width="4" style="1" customWidth="1"/>
    <col min="9479" max="9484" width="4.140625" style="1" customWidth="1"/>
    <col min="9485" max="9486" width="4.28515625" style="1" customWidth="1"/>
    <col min="9487" max="9487" width="15.42578125" style="1" customWidth="1"/>
    <col min="9488" max="9488" width="1.42578125" style="1" customWidth="1"/>
    <col min="9489" max="9724" width="0" style="1" hidden="1"/>
    <col min="9725" max="9725" width="1.85546875" style="1" customWidth="1"/>
    <col min="9726" max="9726" width="3.140625" style="1" customWidth="1"/>
    <col min="9727" max="9733" width="4.140625" style="1" customWidth="1"/>
    <col min="9734" max="9734" width="4" style="1" customWidth="1"/>
    <col min="9735" max="9740" width="4.140625" style="1" customWidth="1"/>
    <col min="9741" max="9742" width="4.28515625" style="1" customWidth="1"/>
    <col min="9743" max="9743" width="15.42578125" style="1" customWidth="1"/>
    <col min="9744" max="9744" width="1.42578125" style="1" customWidth="1"/>
    <col min="9745" max="9980" width="0" style="1" hidden="1"/>
    <col min="9981" max="9981" width="1.85546875" style="1" customWidth="1"/>
    <col min="9982" max="9982" width="3.140625" style="1" customWidth="1"/>
    <col min="9983" max="9989" width="4.140625" style="1" customWidth="1"/>
    <col min="9990" max="9990" width="4" style="1" customWidth="1"/>
    <col min="9991" max="9996" width="4.140625" style="1" customWidth="1"/>
    <col min="9997" max="9998" width="4.28515625" style="1" customWidth="1"/>
    <col min="9999" max="9999" width="15.42578125" style="1" customWidth="1"/>
    <col min="10000" max="10000" width="1.42578125" style="1" customWidth="1"/>
    <col min="10001" max="10236" width="0" style="1" hidden="1"/>
    <col min="10237" max="10237" width="1.85546875" style="1" customWidth="1"/>
    <col min="10238" max="10238" width="3.140625" style="1" customWidth="1"/>
    <col min="10239" max="10245" width="4.140625" style="1" customWidth="1"/>
    <col min="10246" max="10246" width="4" style="1" customWidth="1"/>
    <col min="10247" max="10252" width="4.140625" style="1" customWidth="1"/>
    <col min="10253" max="10254" width="4.28515625" style="1" customWidth="1"/>
    <col min="10255" max="10255" width="15.42578125" style="1" customWidth="1"/>
    <col min="10256" max="10256" width="1.42578125" style="1" customWidth="1"/>
    <col min="10257" max="10492" width="0" style="1" hidden="1"/>
    <col min="10493" max="10493" width="1.85546875" style="1" customWidth="1"/>
    <col min="10494" max="10494" width="3.140625" style="1" customWidth="1"/>
    <col min="10495" max="10501" width="4.140625" style="1" customWidth="1"/>
    <col min="10502" max="10502" width="4" style="1" customWidth="1"/>
    <col min="10503" max="10508" width="4.140625" style="1" customWidth="1"/>
    <col min="10509" max="10510" width="4.28515625" style="1" customWidth="1"/>
    <col min="10511" max="10511" width="15.42578125" style="1" customWidth="1"/>
    <col min="10512" max="10512" width="1.42578125" style="1" customWidth="1"/>
    <col min="10513" max="10748" width="0" style="1" hidden="1"/>
    <col min="10749" max="10749" width="1.85546875" style="1" customWidth="1"/>
    <col min="10750" max="10750" width="3.140625" style="1" customWidth="1"/>
    <col min="10751" max="10757" width="4.140625" style="1" customWidth="1"/>
    <col min="10758" max="10758" width="4" style="1" customWidth="1"/>
    <col min="10759" max="10764" width="4.140625" style="1" customWidth="1"/>
    <col min="10765" max="10766" width="4.28515625" style="1" customWidth="1"/>
    <col min="10767" max="10767" width="15.42578125" style="1" customWidth="1"/>
    <col min="10768" max="10768" width="1.42578125" style="1" customWidth="1"/>
    <col min="10769" max="11004" width="0" style="1" hidden="1"/>
    <col min="11005" max="11005" width="1.85546875" style="1" customWidth="1"/>
    <col min="11006" max="11006" width="3.140625" style="1" customWidth="1"/>
    <col min="11007" max="11013" width="4.140625" style="1" customWidth="1"/>
    <col min="11014" max="11014" width="4" style="1" customWidth="1"/>
    <col min="11015" max="11020" width="4.140625" style="1" customWidth="1"/>
    <col min="11021" max="11022" width="4.28515625" style="1" customWidth="1"/>
    <col min="11023" max="11023" width="15.42578125" style="1" customWidth="1"/>
    <col min="11024" max="11024" width="1.42578125" style="1" customWidth="1"/>
    <col min="11025" max="11260" width="0" style="1" hidden="1"/>
    <col min="11261" max="11261" width="1.85546875" style="1" customWidth="1"/>
    <col min="11262" max="11262" width="3.140625" style="1" customWidth="1"/>
    <col min="11263" max="11269" width="4.140625" style="1" customWidth="1"/>
    <col min="11270" max="11270" width="4" style="1" customWidth="1"/>
    <col min="11271" max="11276" width="4.140625" style="1" customWidth="1"/>
    <col min="11277" max="11278" width="4.28515625" style="1" customWidth="1"/>
    <col min="11279" max="11279" width="15.42578125" style="1" customWidth="1"/>
    <col min="11280" max="11280" width="1.42578125" style="1" customWidth="1"/>
    <col min="11281" max="11516" width="0" style="1" hidden="1"/>
    <col min="11517" max="11517" width="1.85546875" style="1" customWidth="1"/>
    <col min="11518" max="11518" width="3.140625" style="1" customWidth="1"/>
    <col min="11519" max="11525" width="4.140625" style="1" customWidth="1"/>
    <col min="11526" max="11526" width="4" style="1" customWidth="1"/>
    <col min="11527" max="11532" width="4.140625" style="1" customWidth="1"/>
    <col min="11533" max="11534" width="4.28515625" style="1" customWidth="1"/>
    <col min="11535" max="11535" width="15.42578125" style="1" customWidth="1"/>
    <col min="11536" max="11536" width="1.42578125" style="1" customWidth="1"/>
    <col min="11537" max="11772" width="0" style="1" hidden="1"/>
    <col min="11773" max="11773" width="1.85546875" style="1" customWidth="1"/>
    <col min="11774" max="11774" width="3.140625" style="1" customWidth="1"/>
    <col min="11775" max="11781" width="4.140625" style="1" customWidth="1"/>
    <col min="11782" max="11782" width="4" style="1" customWidth="1"/>
    <col min="11783" max="11788" width="4.140625" style="1" customWidth="1"/>
    <col min="11789" max="11790" width="4.28515625" style="1" customWidth="1"/>
    <col min="11791" max="11791" width="15.42578125" style="1" customWidth="1"/>
    <col min="11792" max="11792" width="1.42578125" style="1" customWidth="1"/>
    <col min="11793" max="12028" width="0" style="1" hidden="1"/>
    <col min="12029" max="12029" width="1.85546875" style="1" customWidth="1"/>
    <col min="12030" max="12030" width="3.140625" style="1" customWidth="1"/>
    <col min="12031" max="12037" width="4.140625" style="1" customWidth="1"/>
    <col min="12038" max="12038" width="4" style="1" customWidth="1"/>
    <col min="12039" max="12044" width="4.140625" style="1" customWidth="1"/>
    <col min="12045" max="12046" width="4.28515625" style="1" customWidth="1"/>
    <col min="12047" max="12047" width="15.42578125" style="1" customWidth="1"/>
    <col min="12048" max="12048" width="1.42578125" style="1" customWidth="1"/>
    <col min="12049" max="12284" width="0" style="1" hidden="1"/>
    <col min="12285" max="12285" width="1.85546875" style="1" customWidth="1"/>
    <col min="12286" max="12286" width="3.140625" style="1" customWidth="1"/>
    <col min="12287" max="12293" width="4.140625" style="1" customWidth="1"/>
    <col min="12294" max="12294" width="4" style="1" customWidth="1"/>
    <col min="12295" max="12300" width="4.140625" style="1" customWidth="1"/>
    <col min="12301" max="12302" width="4.28515625" style="1" customWidth="1"/>
    <col min="12303" max="12303" width="15.42578125" style="1" customWidth="1"/>
    <col min="12304" max="12304" width="1.42578125" style="1" customWidth="1"/>
    <col min="12305" max="12540" width="0" style="1" hidden="1"/>
    <col min="12541" max="12541" width="1.85546875" style="1" customWidth="1"/>
    <col min="12542" max="12542" width="3.140625" style="1" customWidth="1"/>
    <col min="12543" max="12549" width="4.140625" style="1" customWidth="1"/>
    <col min="12550" max="12550" width="4" style="1" customWidth="1"/>
    <col min="12551" max="12556" width="4.140625" style="1" customWidth="1"/>
    <col min="12557" max="12558" width="4.28515625" style="1" customWidth="1"/>
    <col min="12559" max="12559" width="15.42578125" style="1" customWidth="1"/>
    <col min="12560" max="12560" width="1.42578125" style="1" customWidth="1"/>
    <col min="12561" max="12796" width="0" style="1" hidden="1"/>
    <col min="12797" max="12797" width="1.85546875" style="1" customWidth="1"/>
    <col min="12798" max="12798" width="3.140625" style="1" customWidth="1"/>
    <col min="12799" max="12805" width="4.140625" style="1" customWidth="1"/>
    <col min="12806" max="12806" width="4" style="1" customWidth="1"/>
    <col min="12807" max="12812" width="4.140625" style="1" customWidth="1"/>
    <col min="12813" max="12814" width="4.28515625" style="1" customWidth="1"/>
    <col min="12815" max="12815" width="15.42578125" style="1" customWidth="1"/>
    <col min="12816" max="12816" width="1.42578125" style="1" customWidth="1"/>
    <col min="12817" max="13052" width="0" style="1" hidden="1"/>
    <col min="13053" max="13053" width="1.85546875" style="1" customWidth="1"/>
    <col min="13054" max="13054" width="3.140625" style="1" customWidth="1"/>
    <col min="13055" max="13061" width="4.140625" style="1" customWidth="1"/>
    <col min="13062" max="13062" width="4" style="1" customWidth="1"/>
    <col min="13063" max="13068" width="4.140625" style="1" customWidth="1"/>
    <col min="13069" max="13070" width="4.28515625" style="1" customWidth="1"/>
    <col min="13071" max="13071" width="15.42578125" style="1" customWidth="1"/>
    <col min="13072" max="13072" width="1.42578125" style="1" customWidth="1"/>
    <col min="13073" max="13308" width="0" style="1" hidden="1"/>
    <col min="13309" max="13309" width="1.85546875" style="1" customWidth="1"/>
    <col min="13310" max="13310" width="3.140625" style="1" customWidth="1"/>
    <col min="13311" max="13317" width="4.140625" style="1" customWidth="1"/>
    <col min="13318" max="13318" width="4" style="1" customWidth="1"/>
    <col min="13319" max="13324" width="4.140625" style="1" customWidth="1"/>
    <col min="13325" max="13326" width="4.28515625" style="1" customWidth="1"/>
    <col min="13327" max="13327" width="15.42578125" style="1" customWidth="1"/>
    <col min="13328" max="13328" width="1.42578125" style="1" customWidth="1"/>
    <col min="13329" max="13564" width="0" style="1" hidden="1"/>
    <col min="13565" max="13565" width="1.85546875" style="1" customWidth="1"/>
    <col min="13566" max="13566" width="3.140625" style="1" customWidth="1"/>
    <col min="13567" max="13573" width="4.140625" style="1" customWidth="1"/>
    <col min="13574" max="13574" width="4" style="1" customWidth="1"/>
    <col min="13575" max="13580" width="4.140625" style="1" customWidth="1"/>
    <col min="13581" max="13582" width="4.28515625" style="1" customWidth="1"/>
    <col min="13583" max="13583" width="15.42578125" style="1" customWidth="1"/>
    <col min="13584" max="13584" width="1.42578125" style="1" customWidth="1"/>
    <col min="13585" max="13820" width="0" style="1" hidden="1"/>
    <col min="13821" max="13821" width="1.85546875" style="1" customWidth="1"/>
    <col min="13822" max="13822" width="3.140625" style="1" customWidth="1"/>
    <col min="13823" max="13829" width="4.140625" style="1" customWidth="1"/>
    <col min="13830" max="13830" width="4" style="1" customWidth="1"/>
    <col min="13831" max="13836" width="4.140625" style="1" customWidth="1"/>
    <col min="13837" max="13838" width="4.28515625" style="1" customWidth="1"/>
    <col min="13839" max="13839" width="15.42578125" style="1" customWidth="1"/>
    <col min="13840" max="13840" width="1.42578125" style="1" customWidth="1"/>
    <col min="13841" max="14076" width="0" style="1" hidden="1"/>
    <col min="14077" max="14077" width="1.85546875" style="1" customWidth="1"/>
    <col min="14078" max="14078" width="3.140625" style="1" customWidth="1"/>
    <col min="14079" max="14085" width="4.140625" style="1" customWidth="1"/>
    <col min="14086" max="14086" width="4" style="1" customWidth="1"/>
    <col min="14087" max="14092" width="4.140625" style="1" customWidth="1"/>
    <col min="14093" max="14094" width="4.28515625" style="1" customWidth="1"/>
    <col min="14095" max="14095" width="15.42578125" style="1" customWidth="1"/>
    <col min="14096" max="14096" width="1.42578125" style="1" customWidth="1"/>
    <col min="14097" max="14332" width="0" style="1" hidden="1"/>
    <col min="14333" max="14333" width="1.85546875" style="1" customWidth="1"/>
    <col min="14334" max="14334" width="3.140625" style="1" customWidth="1"/>
    <col min="14335" max="14341" width="4.140625" style="1" customWidth="1"/>
    <col min="14342" max="14342" width="4" style="1" customWidth="1"/>
    <col min="14343" max="14348" width="4.140625" style="1" customWidth="1"/>
    <col min="14349" max="14350" width="4.28515625" style="1" customWidth="1"/>
    <col min="14351" max="14351" width="15.42578125" style="1" customWidth="1"/>
    <col min="14352" max="14352" width="1.42578125" style="1" customWidth="1"/>
    <col min="14353" max="14588" width="0" style="1" hidden="1"/>
    <col min="14589" max="14589" width="1.85546875" style="1" customWidth="1"/>
    <col min="14590" max="14590" width="3.140625" style="1" customWidth="1"/>
    <col min="14591" max="14597" width="4.140625" style="1" customWidth="1"/>
    <col min="14598" max="14598" width="4" style="1" customWidth="1"/>
    <col min="14599" max="14604" width="4.140625" style="1" customWidth="1"/>
    <col min="14605" max="14606" width="4.28515625" style="1" customWidth="1"/>
    <col min="14607" max="14607" width="15.42578125" style="1" customWidth="1"/>
    <col min="14608" max="14608" width="1.42578125" style="1" customWidth="1"/>
    <col min="14609" max="14844" width="0" style="1" hidden="1"/>
    <col min="14845" max="14845" width="1.85546875" style="1" customWidth="1"/>
    <col min="14846" max="14846" width="3.140625" style="1" customWidth="1"/>
    <col min="14847" max="14853" width="4.140625" style="1" customWidth="1"/>
    <col min="14854" max="14854" width="4" style="1" customWidth="1"/>
    <col min="14855" max="14860" width="4.140625" style="1" customWidth="1"/>
    <col min="14861" max="14862" width="4.28515625" style="1" customWidth="1"/>
    <col min="14863" max="14863" width="15.42578125" style="1" customWidth="1"/>
    <col min="14864" max="14864" width="1.42578125" style="1" customWidth="1"/>
    <col min="14865" max="15100" width="0" style="1" hidden="1"/>
    <col min="15101" max="15101" width="1.85546875" style="1" customWidth="1"/>
    <col min="15102" max="15102" width="3.140625" style="1" customWidth="1"/>
    <col min="15103" max="15109" width="4.140625" style="1" customWidth="1"/>
    <col min="15110" max="15110" width="4" style="1" customWidth="1"/>
    <col min="15111" max="15116" width="4.140625" style="1" customWidth="1"/>
    <col min="15117" max="15118" width="4.28515625" style="1" customWidth="1"/>
    <col min="15119" max="15119" width="15.42578125" style="1" customWidth="1"/>
    <col min="15120" max="15120" width="1.42578125" style="1" customWidth="1"/>
    <col min="15121" max="15356" width="0" style="1" hidden="1"/>
    <col min="15357" max="15357" width="1.85546875" style="1" customWidth="1"/>
    <col min="15358" max="15358" width="3.140625" style="1" customWidth="1"/>
    <col min="15359" max="15365" width="4.140625" style="1" customWidth="1"/>
    <col min="15366" max="15366" width="4" style="1" customWidth="1"/>
    <col min="15367" max="15372" width="4.140625" style="1" customWidth="1"/>
    <col min="15373" max="15374" width="4.28515625" style="1" customWidth="1"/>
    <col min="15375" max="15375" width="15.42578125" style="1" customWidth="1"/>
    <col min="15376" max="15376" width="1.42578125" style="1" customWidth="1"/>
    <col min="15377" max="15612" width="0" style="1" hidden="1"/>
    <col min="15613" max="15613" width="1.85546875" style="1" customWidth="1"/>
    <col min="15614" max="15614" width="3.140625" style="1" customWidth="1"/>
    <col min="15615" max="15621" width="4.140625" style="1" customWidth="1"/>
    <col min="15622" max="15622" width="4" style="1" customWidth="1"/>
    <col min="15623" max="15628" width="4.140625" style="1" customWidth="1"/>
    <col min="15629" max="15630" width="4.28515625" style="1" customWidth="1"/>
    <col min="15631" max="15631" width="15.42578125" style="1" customWidth="1"/>
    <col min="15632" max="15632" width="1.42578125" style="1" customWidth="1"/>
    <col min="15633" max="15868" width="0" style="1" hidden="1"/>
    <col min="15869" max="15869" width="1.85546875" style="1" customWidth="1"/>
    <col min="15870" max="15870" width="3.140625" style="1" customWidth="1"/>
    <col min="15871" max="15877" width="4.140625" style="1" customWidth="1"/>
    <col min="15878" max="15878" width="4" style="1" customWidth="1"/>
    <col min="15879" max="15884" width="4.140625" style="1" customWidth="1"/>
    <col min="15885" max="15886" width="4.28515625" style="1" customWidth="1"/>
    <col min="15887" max="15887" width="15.42578125" style="1" customWidth="1"/>
    <col min="15888" max="15888" width="1.42578125" style="1" customWidth="1"/>
    <col min="15889" max="16124" width="0" style="1" hidden="1"/>
    <col min="16125" max="16125" width="1.85546875" style="1" customWidth="1"/>
    <col min="16126" max="16126" width="3.140625" style="1" customWidth="1"/>
    <col min="16127" max="16133" width="4.140625" style="1" customWidth="1"/>
    <col min="16134" max="16134" width="4" style="1" customWidth="1"/>
    <col min="16135" max="16140" width="4.140625" style="1" customWidth="1"/>
    <col min="16141" max="16142" width="4.28515625" style="1" customWidth="1"/>
    <col min="16143" max="16143" width="15.42578125" style="1" customWidth="1"/>
    <col min="16144" max="16144" width="1.42578125" style="1" customWidth="1"/>
    <col min="16145" max="16384" width="0" style="1" hidden="1"/>
  </cols>
  <sheetData>
    <row r="1" spans="1:16" s="4" customFormat="1" ht="26.25" customHeight="1">
      <c r="A1" s="241" t="s">
        <v>56</v>
      </c>
      <c r="B1" s="241" t="s">
        <v>57</v>
      </c>
      <c r="C1" s="243" t="s">
        <v>59</v>
      </c>
      <c r="D1" s="252" t="s">
        <v>275</v>
      </c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7"/>
    </row>
    <row r="2" spans="1:16" s="4" customFormat="1" ht="16.5" customHeight="1">
      <c r="A2" s="241"/>
      <c r="B2" s="241"/>
      <c r="C2" s="243"/>
      <c r="D2" s="248" t="s">
        <v>276</v>
      </c>
      <c r="E2" s="248"/>
      <c r="F2" s="248"/>
      <c r="G2" s="248" t="s">
        <v>277</v>
      </c>
      <c r="H2" s="248"/>
      <c r="I2" s="248"/>
      <c r="J2" s="248"/>
      <c r="K2" s="248" t="s">
        <v>278</v>
      </c>
      <c r="L2" s="248"/>
      <c r="M2" s="248"/>
      <c r="N2" s="248" t="s">
        <v>260</v>
      </c>
      <c r="O2" s="249" t="s">
        <v>17</v>
      </c>
      <c r="P2" s="7"/>
    </row>
    <row r="3" spans="1:16" s="4" customFormat="1" ht="18" customHeight="1">
      <c r="A3" s="241"/>
      <c r="B3" s="241"/>
      <c r="C3" s="243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9"/>
      <c r="P3" s="7"/>
    </row>
    <row r="4" spans="1:16" s="4" customFormat="1" ht="18" customHeight="1">
      <c r="A4" s="241"/>
      <c r="B4" s="241"/>
      <c r="C4" s="243"/>
      <c r="D4" s="167">
        <v>10</v>
      </c>
      <c r="E4" s="167">
        <v>10</v>
      </c>
      <c r="F4" s="167">
        <v>10</v>
      </c>
      <c r="G4" s="167">
        <v>10</v>
      </c>
      <c r="H4" s="167">
        <v>10</v>
      </c>
      <c r="I4" s="167">
        <v>10</v>
      </c>
      <c r="J4" s="167">
        <v>10</v>
      </c>
      <c r="K4" s="167">
        <v>10</v>
      </c>
      <c r="L4" s="167">
        <v>10</v>
      </c>
      <c r="M4" s="167">
        <v>10</v>
      </c>
      <c r="N4" s="37">
        <v>100</v>
      </c>
      <c r="O4" s="249"/>
      <c r="P4" s="7"/>
    </row>
    <row r="5" spans="1:16" s="4" customFormat="1" ht="18" customHeight="1">
      <c r="A5" s="132">
        <v>1</v>
      </c>
      <c r="B5" s="121">
        <v>1743</v>
      </c>
      <c r="C5" s="136" t="str">
        <f>ข้อมูลเด็ก!F6</f>
        <v>เด็กชายปัณณวิชญ์   เปรียงพรม</v>
      </c>
      <c r="D5" s="133">
        <v>10</v>
      </c>
      <c r="E5" s="133">
        <v>9</v>
      </c>
      <c r="F5" s="133">
        <v>9</v>
      </c>
      <c r="G5" s="133">
        <v>9</v>
      </c>
      <c r="H5" s="133">
        <v>9</v>
      </c>
      <c r="I5" s="133">
        <v>8</v>
      </c>
      <c r="J5" s="133">
        <v>9</v>
      </c>
      <c r="K5" s="133">
        <v>9</v>
      </c>
      <c r="L5" s="133">
        <v>9</v>
      </c>
      <c r="M5" s="133">
        <v>9</v>
      </c>
      <c r="N5" s="133">
        <f>SUM(D5:M5)</f>
        <v>90</v>
      </c>
      <c r="O5" s="134" t="str">
        <f>IF(N5&gt;=90, "ดีเยี่ยม", IF(N5&gt;=80, "ดี", IF(N5&gt;=70, "ผ่านเกณฑ์", "ไม่ผ่าน")))</f>
        <v>ดีเยี่ยม</v>
      </c>
      <c r="P5" s="7"/>
    </row>
    <row r="6" spans="1:16" s="4" customFormat="1" ht="18" customHeight="1">
      <c r="A6" s="132">
        <v>2</v>
      </c>
      <c r="B6" s="121">
        <v>1744</v>
      </c>
      <c r="C6" s="136" t="str">
        <f>ข้อมูลเด็ก!F7</f>
        <v>เด็กชายรัชชานนท์  เทียมกลาง</v>
      </c>
      <c r="D6" s="133">
        <v>9</v>
      </c>
      <c r="E6" s="133">
        <v>8</v>
      </c>
      <c r="F6" s="133">
        <v>8</v>
      </c>
      <c r="G6" s="133">
        <v>9</v>
      </c>
      <c r="H6" s="133">
        <v>9</v>
      </c>
      <c r="I6" s="133">
        <v>9</v>
      </c>
      <c r="J6" s="133">
        <v>9</v>
      </c>
      <c r="K6" s="133">
        <v>8</v>
      </c>
      <c r="L6" s="133">
        <v>9</v>
      </c>
      <c r="M6" s="133">
        <v>9</v>
      </c>
      <c r="N6" s="133">
        <f t="shared" ref="N6:N16" si="0">SUM(D6:M6)</f>
        <v>87</v>
      </c>
      <c r="O6" s="134" t="str">
        <f t="shared" ref="O6:O16" si="1">IF(N6&gt;=90, "ดีเยี่ยม", IF(N6&gt;=80, "ดี", IF(N6&gt;=70, "ผ่านเกณฑ์", "ไม่ผ่าน")))</f>
        <v>ดี</v>
      </c>
      <c r="P6" s="7"/>
    </row>
    <row r="7" spans="1:16" s="4" customFormat="1" ht="18" customHeight="1">
      <c r="A7" s="132">
        <v>3</v>
      </c>
      <c r="B7" s="121">
        <v>1745</v>
      </c>
      <c r="C7" s="136" t="str">
        <f>ข้อมูลเด็ก!F8</f>
        <v>เด็กชายรณกฤต  สองเมือง</v>
      </c>
      <c r="D7" s="133">
        <v>8</v>
      </c>
      <c r="E7" s="133">
        <v>9</v>
      </c>
      <c r="F7" s="133">
        <v>8</v>
      </c>
      <c r="G7" s="133">
        <v>9</v>
      </c>
      <c r="H7" s="133">
        <v>9</v>
      </c>
      <c r="I7" s="133">
        <v>8</v>
      </c>
      <c r="J7" s="133">
        <v>9</v>
      </c>
      <c r="K7" s="133">
        <v>9</v>
      </c>
      <c r="L7" s="133">
        <v>9</v>
      </c>
      <c r="M7" s="133">
        <v>9</v>
      </c>
      <c r="N7" s="133">
        <f t="shared" si="0"/>
        <v>87</v>
      </c>
      <c r="O7" s="134" t="str">
        <f t="shared" si="1"/>
        <v>ดี</v>
      </c>
      <c r="P7" s="7"/>
    </row>
    <row r="8" spans="1:16" s="4" customFormat="1" ht="18" customHeight="1">
      <c r="A8" s="132">
        <v>4</v>
      </c>
      <c r="B8" s="121">
        <v>1746</v>
      </c>
      <c r="C8" s="136" t="str">
        <f>ข้อมูลเด็ก!F9</f>
        <v>เด็กหญิงกรรณิการ์  คงสุดี</v>
      </c>
      <c r="D8" s="133">
        <v>10</v>
      </c>
      <c r="E8" s="133">
        <v>9</v>
      </c>
      <c r="F8" s="133">
        <v>10</v>
      </c>
      <c r="G8" s="133">
        <v>10</v>
      </c>
      <c r="H8" s="133">
        <v>9</v>
      </c>
      <c r="I8" s="133">
        <v>10</v>
      </c>
      <c r="J8" s="133">
        <v>10</v>
      </c>
      <c r="K8" s="133">
        <v>10</v>
      </c>
      <c r="L8" s="133">
        <v>9</v>
      </c>
      <c r="M8" s="133">
        <v>10</v>
      </c>
      <c r="N8" s="133">
        <f t="shared" si="0"/>
        <v>97</v>
      </c>
      <c r="O8" s="134" t="str">
        <f t="shared" si="1"/>
        <v>ดีเยี่ยม</v>
      </c>
      <c r="P8" s="7"/>
    </row>
    <row r="9" spans="1:16" s="4" customFormat="1" ht="18" customHeight="1">
      <c r="A9" s="132">
        <v>5</v>
      </c>
      <c r="B9" s="121">
        <v>1747</v>
      </c>
      <c r="C9" s="136" t="str">
        <f>ข้อมูลเด็ก!F10</f>
        <v>เด็กหญิงชญานิศ  พันธุเมฆ</v>
      </c>
      <c r="D9" s="133">
        <v>8</v>
      </c>
      <c r="E9" s="133">
        <v>9</v>
      </c>
      <c r="F9" s="133">
        <v>9</v>
      </c>
      <c r="G9" s="133">
        <v>9</v>
      </c>
      <c r="H9" s="133">
        <v>8</v>
      </c>
      <c r="I9" s="133">
        <v>9</v>
      </c>
      <c r="J9" s="133">
        <v>8</v>
      </c>
      <c r="K9" s="133">
        <v>8</v>
      </c>
      <c r="L9" s="133">
        <v>8</v>
      </c>
      <c r="M9" s="133">
        <v>9</v>
      </c>
      <c r="N9" s="133">
        <f t="shared" si="0"/>
        <v>85</v>
      </c>
      <c r="O9" s="134" t="str">
        <f t="shared" si="1"/>
        <v>ดี</v>
      </c>
      <c r="P9" s="7"/>
    </row>
    <row r="10" spans="1:16" s="4" customFormat="1" ht="18" customHeight="1">
      <c r="A10" s="132">
        <v>6</v>
      </c>
      <c r="B10" s="121">
        <v>1748</v>
      </c>
      <c r="C10" s="136" t="str">
        <f>ข้อมูลเด็ก!F11</f>
        <v>เด็กหญิงปนัดดา  โพธิสุวรรณ</v>
      </c>
      <c r="D10" s="133">
        <v>10</v>
      </c>
      <c r="E10" s="133">
        <v>9</v>
      </c>
      <c r="F10" s="133">
        <v>9</v>
      </c>
      <c r="G10" s="133">
        <v>10</v>
      </c>
      <c r="H10" s="133">
        <v>10</v>
      </c>
      <c r="I10" s="133">
        <v>9</v>
      </c>
      <c r="J10" s="133">
        <v>10</v>
      </c>
      <c r="K10" s="133">
        <v>10</v>
      </c>
      <c r="L10" s="133">
        <v>9</v>
      </c>
      <c r="M10" s="133">
        <v>10</v>
      </c>
      <c r="N10" s="133">
        <f t="shared" si="0"/>
        <v>96</v>
      </c>
      <c r="O10" s="134" t="str">
        <f t="shared" si="1"/>
        <v>ดีเยี่ยม</v>
      </c>
      <c r="P10" s="7"/>
    </row>
    <row r="11" spans="1:16" s="4" customFormat="1" ht="18" customHeight="1">
      <c r="A11" s="132">
        <v>7</v>
      </c>
      <c r="B11" s="121">
        <v>1749</v>
      </c>
      <c r="C11" s="136" t="str">
        <f>ข้อมูลเด็ก!F12</f>
        <v>เด็กหญิงรุ่งนภา  ผดุงภักดี</v>
      </c>
      <c r="D11" s="133">
        <v>10</v>
      </c>
      <c r="E11" s="133">
        <v>10</v>
      </c>
      <c r="F11" s="133">
        <v>9</v>
      </c>
      <c r="G11" s="133">
        <v>10</v>
      </c>
      <c r="H11" s="133">
        <v>10</v>
      </c>
      <c r="I11" s="133">
        <v>10</v>
      </c>
      <c r="J11" s="133">
        <v>9</v>
      </c>
      <c r="K11" s="133">
        <v>10</v>
      </c>
      <c r="L11" s="133">
        <v>10</v>
      </c>
      <c r="M11" s="133">
        <v>9</v>
      </c>
      <c r="N11" s="133">
        <f t="shared" si="0"/>
        <v>97</v>
      </c>
      <c r="O11" s="134" t="str">
        <f t="shared" si="1"/>
        <v>ดีเยี่ยม</v>
      </c>
      <c r="P11" s="7"/>
    </row>
    <row r="12" spans="1:16" s="4" customFormat="1" ht="18" customHeight="1">
      <c r="A12" s="132">
        <v>8</v>
      </c>
      <c r="B12" s="121">
        <v>1750</v>
      </c>
      <c r="C12" s="136" t="str">
        <f>ข้อมูลเด็ก!F13</f>
        <v>เด็กหญิงพิมพิ์พิชชา  มะลิมาตย์</v>
      </c>
      <c r="D12" s="133">
        <v>10</v>
      </c>
      <c r="E12" s="133">
        <v>10</v>
      </c>
      <c r="F12" s="133">
        <v>9</v>
      </c>
      <c r="G12" s="133">
        <v>10</v>
      </c>
      <c r="H12" s="133">
        <v>9</v>
      </c>
      <c r="I12" s="133">
        <v>10</v>
      </c>
      <c r="J12" s="133">
        <v>10</v>
      </c>
      <c r="K12" s="133">
        <v>10</v>
      </c>
      <c r="L12" s="133">
        <v>10</v>
      </c>
      <c r="M12" s="133">
        <v>10</v>
      </c>
      <c r="N12" s="133">
        <f t="shared" si="0"/>
        <v>98</v>
      </c>
      <c r="O12" s="134" t="str">
        <f t="shared" si="1"/>
        <v>ดีเยี่ยม</v>
      </c>
      <c r="P12" s="7"/>
    </row>
    <row r="13" spans="1:16" s="4" customFormat="1" ht="18" customHeight="1">
      <c r="A13" s="132">
        <v>9</v>
      </c>
      <c r="B13" s="121">
        <v>1751</v>
      </c>
      <c r="C13" s="136" t="str">
        <f>ข้อมูลเด็ก!F14</f>
        <v>เด็กหญิงพิมพ์รดา  เม้าราษี</v>
      </c>
      <c r="D13" s="133">
        <v>9</v>
      </c>
      <c r="E13" s="133">
        <v>10</v>
      </c>
      <c r="F13" s="133">
        <v>9</v>
      </c>
      <c r="G13" s="133">
        <v>9</v>
      </c>
      <c r="H13" s="133">
        <v>10</v>
      </c>
      <c r="I13" s="133">
        <v>9</v>
      </c>
      <c r="J13" s="133">
        <v>10</v>
      </c>
      <c r="K13" s="133">
        <v>10</v>
      </c>
      <c r="L13" s="133">
        <v>9</v>
      </c>
      <c r="M13" s="133">
        <v>10</v>
      </c>
      <c r="N13" s="133">
        <f t="shared" si="0"/>
        <v>95</v>
      </c>
      <c r="O13" s="134" t="str">
        <f t="shared" si="1"/>
        <v>ดีเยี่ยม</v>
      </c>
      <c r="P13" s="7"/>
    </row>
    <row r="14" spans="1:16" s="4" customFormat="1" ht="18" customHeight="1">
      <c r="A14" s="132">
        <v>10</v>
      </c>
      <c r="B14" s="149">
        <v>1752</v>
      </c>
      <c r="C14" s="136" t="str">
        <f>ข้อมูลเด็ก!F15</f>
        <v>เด็กหญิงศศิวิมล  ธนูทอง</v>
      </c>
      <c r="D14" s="133">
        <v>9</v>
      </c>
      <c r="E14" s="133">
        <v>10</v>
      </c>
      <c r="F14" s="133">
        <v>9</v>
      </c>
      <c r="G14" s="133">
        <v>9</v>
      </c>
      <c r="H14" s="133">
        <v>10</v>
      </c>
      <c r="I14" s="133">
        <v>10</v>
      </c>
      <c r="J14" s="133">
        <v>9</v>
      </c>
      <c r="K14" s="133">
        <v>10</v>
      </c>
      <c r="L14" s="133">
        <v>9</v>
      </c>
      <c r="M14" s="133">
        <v>9</v>
      </c>
      <c r="N14" s="133">
        <f t="shared" si="0"/>
        <v>94</v>
      </c>
      <c r="O14" s="134" t="str">
        <f t="shared" si="1"/>
        <v>ดีเยี่ยม</v>
      </c>
      <c r="P14" s="7"/>
    </row>
    <row r="15" spans="1:16" s="4" customFormat="1" ht="18" customHeight="1">
      <c r="A15" s="132">
        <v>11</v>
      </c>
      <c r="B15" s="121">
        <v>1753</v>
      </c>
      <c r="C15" s="136" t="str">
        <f>ข้อมูลเด็ก!F16</f>
        <v>เด็กชายปัณณวิชญ์   พันธ์เดช</v>
      </c>
      <c r="D15" s="133">
        <v>8</v>
      </c>
      <c r="E15" s="133">
        <v>9</v>
      </c>
      <c r="F15" s="133">
        <v>10</v>
      </c>
      <c r="G15" s="133">
        <v>9</v>
      </c>
      <c r="H15" s="133">
        <v>9</v>
      </c>
      <c r="I15" s="133">
        <v>9</v>
      </c>
      <c r="J15" s="133">
        <v>9</v>
      </c>
      <c r="K15" s="133">
        <v>9</v>
      </c>
      <c r="L15" s="133">
        <v>9</v>
      </c>
      <c r="M15" s="133">
        <v>9</v>
      </c>
      <c r="N15" s="133">
        <f t="shared" si="0"/>
        <v>90</v>
      </c>
      <c r="O15" s="134" t="str">
        <f t="shared" si="1"/>
        <v>ดีเยี่ยม</v>
      </c>
      <c r="P15" s="7"/>
    </row>
    <row r="16" spans="1:16" s="4" customFormat="1" ht="18" customHeight="1">
      <c r="A16" s="132">
        <v>12</v>
      </c>
      <c r="B16" s="121">
        <v>1764</v>
      </c>
      <c r="C16" s="136" t="str">
        <f>ข้อมูลเด็ก!F17</f>
        <v>เด็กหญิงสุชาดา  ชมภูนาค</v>
      </c>
      <c r="D16" s="133">
        <v>9</v>
      </c>
      <c r="E16" s="133">
        <v>9</v>
      </c>
      <c r="F16" s="133">
        <v>8</v>
      </c>
      <c r="G16" s="133">
        <v>9</v>
      </c>
      <c r="H16" s="133">
        <v>9</v>
      </c>
      <c r="I16" s="133">
        <v>8</v>
      </c>
      <c r="J16" s="133">
        <v>9</v>
      </c>
      <c r="K16" s="133">
        <v>9</v>
      </c>
      <c r="L16" s="133">
        <v>8</v>
      </c>
      <c r="M16" s="133">
        <v>9</v>
      </c>
      <c r="N16" s="133">
        <f t="shared" si="0"/>
        <v>87</v>
      </c>
      <c r="O16" s="134" t="str">
        <f t="shared" si="1"/>
        <v>ดี</v>
      </c>
      <c r="P16" s="7"/>
    </row>
    <row r="17" spans="1:16" s="4" customFormat="1" ht="18" customHeight="1">
      <c r="A17" s="255">
        <v>13</v>
      </c>
      <c r="B17" s="256">
        <v>1763</v>
      </c>
      <c r="C17" s="136" t="str">
        <f>ข้อมูลเด็ก!F18</f>
        <v>เด็กหญิงอริสา วรเลิศ</v>
      </c>
      <c r="D17" s="133">
        <v>9</v>
      </c>
      <c r="E17" s="133">
        <v>9</v>
      </c>
      <c r="F17" s="133">
        <v>9</v>
      </c>
      <c r="G17" s="133">
        <v>9</v>
      </c>
      <c r="H17" s="133">
        <v>9</v>
      </c>
      <c r="I17" s="133">
        <v>9</v>
      </c>
      <c r="J17" s="133">
        <v>9</v>
      </c>
      <c r="K17" s="133">
        <v>9</v>
      </c>
      <c r="L17" s="133">
        <v>9</v>
      </c>
      <c r="M17" s="133">
        <v>9</v>
      </c>
      <c r="N17" s="133">
        <f t="shared" ref="N17" si="2">SUM(D17:M17)</f>
        <v>90</v>
      </c>
      <c r="O17" s="134" t="str">
        <f t="shared" ref="O17" si="3">IF(N17&gt;=90, "ดีเยี่ยม", IF(N17&gt;=80, "ดี", IF(N17&gt;=70, "ผ่านเกณฑ์", "ไม่ผ่าน")))</f>
        <v>ดีเยี่ยม</v>
      </c>
      <c r="P17" s="7"/>
    </row>
    <row r="18" spans="1:16" ht="18.75">
      <c r="A18" s="250"/>
      <c r="B18" s="250"/>
      <c r="C18" s="250"/>
      <c r="D18" s="250"/>
      <c r="E18" s="250"/>
      <c r="F18" s="250"/>
      <c r="G18" s="250"/>
      <c r="H18" s="250"/>
      <c r="I18" s="250"/>
      <c r="J18" s="250"/>
      <c r="K18" s="251" t="s">
        <v>261</v>
      </c>
      <c r="L18" s="251"/>
      <c r="M18" s="251"/>
      <c r="N18" s="251"/>
      <c r="O18" s="251"/>
    </row>
    <row r="19" spans="1:16" ht="18.75">
      <c r="A19" s="47" t="s">
        <v>279</v>
      </c>
      <c r="B19" s="48"/>
      <c r="C19" s="49"/>
      <c r="D19" s="49"/>
      <c r="E19" s="50"/>
      <c r="F19" s="50"/>
      <c r="G19" s="51" t="s">
        <v>280</v>
      </c>
      <c r="H19" s="49"/>
      <c r="I19" s="50"/>
      <c r="J19" s="60"/>
      <c r="K19" s="61"/>
      <c r="L19" s="52" t="s">
        <v>281</v>
      </c>
      <c r="M19" s="50" t="s">
        <v>251</v>
      </c>
      <c r="N19" s="50"/>
      <c r="O19" s="41" t="s">
        <v>23</v>
      </c>
    </row>
    <row r="20" spans="1:16" ht="18.75">
      <c r="A20" s="53" t="s">
        <v>282</v>
      </c>
      <c r="B20" s="11"/>
      <c r="C20" s="11"/>
      <c r="D20" s="11"/>
      <c r="E20" s="9"/>
      <c r="F20" s="9"/>
      <c r="G20" s="9" t="s">
        <v>283</v>
      </c>
      <c r="H20" s="11"/>
      <c r="I20" s="9"/>
      <c r="J20" s="62"/>
      <c r="K20" s="63"/>
      <c r="L20" s="13" t="s">
        <v>284</v>
      </c>
      <c r="M20" s="9" t="s">
        <v>251</v>
      </c>
      <c r="N20" s="9"/>
      <c r="O20" s="43" t="s">
        <v>268</v>
      </c>
    </row>
    <row r="21" spans="1:16" ht="18.75">
      <c r="A21" s="53" t="s">
        <v>285</v>
      </c>
      <c r="B21" s="11"/>
      <c r="C21" s="11"/>
      <c r="D21" s="11"/>
      <c r="E21" s="9"/>
      <c r="F21" s="9"/>
      <c r="G21" s="9" t="s">
        <v>286</v>
      </c>
      <c r="H21" s="11"/>
      <c r="I21" s="9"/>
      <c r="J21" s="62"/>
      <c r="K21" s="63"/>
      <c r="L21" s="13" t="s">
        <v>287</v>
      </c>
      <c r="M21" s="9" t="s">
        <v>251</v>
      </c>
      <c r="N21" s="9"/>
      <c r="O21" s="43" t="s">
        <v>157</v>
      </c>
    </row>
    <row r="22" spans="1:16" ht="18.75">
      <c r="A22" s="53" t="s">
        <v>288</v>
      </c>
      <c r="B22" s="12"/>
      <c r="C22" s="12"/>
      <c r="D22" s="12"/>
      <c r="E22" s="9"/>
      <c r="F22" s="9"/>
      <c r="G22" s="65" t="s">
        <v>289</v>
      </c>
      <c r="H22" s="12"/>
      <c r="I22" s="9"/>
      <c r="J22" s="55"/>
      <c r="K22" s="63"/>
      <c r="L22" s="13" t="s">
        <v>290</v>
      </c>
      <c r="M22" s="9" t="s">
        <v>251</v>
      </c>
      <c r="N22" s="9"/>
      <c r="O22" s="43" t="s">
        <v>156</v>
      </c>
    </row>
    <row r="23" spans="1:16" ht="18.75">
      <c r="A23" s="54" t="s">
        <v>291</v>
      </c>
      <c r="B23" s="12"/>
      <c r="C23" s="12"/>
      <c r="D23" s="12"/>
      <c r="E23" s="12"/>
      <c r="F23" s="12"/>
      <c r="G23" s="15" t="s">
        <v>292</v>
      </c>
      <c r="H23" s="12"/>
      <c r="I23" s="12"/>
      <c r="J23" s="55"/>
      <c r="K23" s="64"/>
      <c r="L23" s="12"/>
      <c r="M23" s="12"/>
      <c r="N23" s="12"/>
      <c r="O23" s="55"/>
    </row>
    <row r="24" spans="1:16" ht="18.75">
      <c r="A24" s="54" t="s">
        <v>293</v>
      </c>
      <c r="B24" s="14"/>
      <c r="G24" s="15" t="s">
        <v>294</v>
      </c>
      <c r="J24" s="56"/>
      <c r="K24" s="57"/>
      <c r="O24" s="56"/>
    </row>
    <row r="25" spans="1:16" ht="18.75">
      <c r="A25" s="57"/>
      <c r="G25" s="15" t="s">
        <v>295</v>
      </c>
      <c r="J25" s="56"/>
      <c r="K25" s="57"/>
      <c r="O25" s="56"/>
    </row>
    <row r="26" spans="1:16">
      <c r="A26" s="57"/>
      <c r="J26" s="56"/>
      <c r="K26" s="57"/>
      <c r="O26" s="56"/>
    </row>
    <row r="27" spans="1:16" ht="18.75">
      <c r="A27" s="46"/>
      <c r="B27" s="38"/>
      <c r="C27" s="58"/>
      <c r="D27" s="58"/>
      <c r="E27" s="58"/>
      <c r="F27" s="58"/>
      <c r="G27" s="58"/>
      <c r="H27" s="58"/>
      <c r="I27" s="58"/>
      <c r="J27" s="59"/>
      <c r="K27" s="46"/>
      <c r="L27" s="58"/>
      <c r="M27" s="58"/>
      <c r="N27" s="58"/>
      <c r="O27" s="59"/>
    </row>
  </sheetData>
  <protectedRanges>
    <protectedRange sqref="D4:M17" name="ช่วง1"/>
  </protectedRanges>
  <mergeCells count="11">
    <mergeCell ref="A18:J18"/>
    <mergeCell ref="K18:O18"/>
    <mergeCell ref="K2:M3"/>
    <mergeCell ref="D1:O1"/>
    <mergeCell ref="O2:O4"/>
    <mergeCell ref="N2:N3"/>
    <mergeCell ref="A1:A4"/>
    <mergeCell ref="B1:B4"/>
    <mergeCell ref="C1:C4"/>
    <mergeCell ref="D2:F3"/>
    <mergeCell ref="G2:J3"/>
  </mergeCells>
  <dataValidations count="1">
    <dataValidation type="list" allowBlank="1" showInputMessage="1" showErrorMessage="1" sqref="C5:C17" xr:uid="{DA4F5F63-97C2-4787-90E0-0CFEA11B4A38}">
      <formula1>list</formula1>
    </dataValidation>
  </dataValidations>
  <pageMargins left="0" right="0.1" top="0.39370078740157499" bottom="0" header="0.31496062992126" footer="0.31496062992126"/>
  <pageSetup paperSize="9" scale="95" orientation="portrait" horizontalDpi="4294967293" vertic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H25"/>
  <sheetViews>
    <sheetView tabSelected="1" view="pageBreakPreview" topLeftCell="A9" zoomScaleNormal="100" zoomScaleSheetLayoutView="100" workbookViewId="0">
      <selection activeCell="D5" sqref="D5"/>
    </sheetView>
  </sheetViews>
  <sheetFormatPr defaultColWidth="9" defaultRowHeight="21"/>
  <cols>
    <col min="1" max="1" width="1.42578125" style="2" customWidth="1"/>
    <col min="2" max="2" width="11.5703125" style="2" customWidth="1"/>
    <col min="3" max="7" width="13.42578125" style="2" customWidth="1"/>
    <col min="8" max="16384" width="9" style="2"/>
  </cols>
  <sheetData>
    <row r="1" spans="2:8" ht="40.5" customHeight="1"/>
    <row r="2" spans="2:8" ht="30" customHeight="1">
      <c r="B2" s="228" t="s">
        <v>296</v>
      </c>
      <c r="C2" s="228"/>
      <c r="D2" s="228"/>
      <c r="E2" s="228"/>
      <c r="F2" s="228"/>
      <c r="G2" s="228"/>
    </row>
    <row r="3" spans="2:8" ht="9.75" customHeight="1">
      <c r="B3" s="163"/>
      <c r="C3" s="163"/>
      <c r="D3" s="163"/>
      <c r="E3" s="163"/>
    </row>
    <row r="4" spans="2:8">
      <c r="B4" s="165" t="s">
        <v>297</v>
      </c>
      <c r="D4" s="165" t="s">
        <v>254</v>
      </c>
      <c r="F4" s="165" t="s">
        <v>298</v>
      </c>
    </row>
    <row r="5" spans="2:8">
      <c r="B5" s="254" t="s">
        <v>299</v>
      </c>
      <c r="C5" s="254"/>
      <c r="D5" s="163">
        <v>70</v>
      </c>
      <c r="F5" s="163">
        <v>30</v>
      </c>
    </row>
    <row r="6" spans="2:8">
      <c r="B6" s="254" t="s">
        <v>300</v>
      </c>
      <c r="C6" s="254"/>
      <c r="D6" s="163">
        <v>70</v>
      </c>
      <c r="F6" s="163">
        <v>30</v>
      </c>
    </row>
    <row r="7" spans="2:8">
      <c r="B7" s="254" t="s">
        <v>301</v>
      </c>
      <c r="C7" s="254"/>
      <c r="D7" s="163">
        <v>70</v>
      </c>
      <c r="F7" s="163">
        <v>30</v>
      </c>
    </row>
    <row r="8" spans="2:8">
      <c r="B8" s="254" t="s">
        <v>302</v>
      </c>
      <c r="C8" s="254"/>
      <c r="D8" s="163">
        <v>70</v>
      </c>
      <c r="F8" s="163">
        <v>30</v>
      </c>
    </row>
    <row r="9" spans="2:8">
      <c r="B9" s="254" t="s">
        <v>303</v>
      </c>
      <c r="C9" s="254"/>
      <c r="D9" s="163">
        <v>70</v>
      </c>
      <c r="F9" s="163">
        <v>30</v>
      </c>
    </row>
    <row r="10" spans="2:8">
      <c r="B10" s="254" t="s">
        <v>304</v>
      </c>
      <c r="C10" s="254"/>
      <c r="D10" s="163">
        <v>80</v>
      </c>
      <c r="F10" s="163">
        <v>20</v>
      </c>
    </row>
    <row r="11" spans="2:8">
      <c r="B11" s="254" t="s">
        <v>305</v>
      </c>
      <c r="C11" s="254"/>
      <c r="D11" s="163">
        <v>80</v>
      </c>
      <c r="F11" s="163">
        <v>20</v>
      </c>
    </row>
    <row r="12" spans="2:8">
      <c r="B12" s="254" t="s">
        <v>306</v>
      </c>
      <c r="C12" s="254"/>
      <c r="D12" s="163">
        <v>80</v>
      </c>
      <c r="F12" s="163">
        <v>20</v>
      </c>
    </row>
    <row r="13" spans="2:8">
      <c r="B13" s="254" t="s">
        <v>307</v>
      </c>
      <c r="C13" s="254"/>
      <c r="D13" s="163">
        <v>70</v>
      </c>
      <c r="F13" s="163">
        <v>30</v>
      </c>
    </row>
    <row r="14" spans="2:8">
      <c r="B14" s="224" t="s">
        <v>308</v>
      </c>
      <c r="C14" s="224"/>
      <c r="D14" s="163">
        <v>80</v>
      </c>
      <c r="F14" s="163">
        <v>20</v>
      </c>
    </row>
    <row r="15" spans="2:8">
      <c r="B15" s="224" t="s">
        <v>309</v>
      </c>
      <c r="C15" s="224"/>
      <c r="D15" s="163">
        <v>80</v>
      </c>
      <c r="F15" s="163">
        <v>20</v>
      </c>
    </row>
    <row r="16" spans="2:8" ht="21.75" customHeight="1">
      <c r="B16" s="228" t="s">
        <v>310</v>
      </c>
      <c r="C16" s="228"/>
      <c r="D16" s="228"/>
      <c r="E16" s="228"/>
      <c r="F16" s="228"/>
      <c r="G16" s="228"/>
      <c r="H16" s="10"/>
    </row>
    <row r="17" spans="2:7">
      <c r="B17" s="22" t="s">
        <v>311</v>
      </c>
      <c r="C17" s="228" t="s">
        <v>249</v>
      </c>
      <c r="D17" s="228"/>
      <c r="E17" s="228"/>
      <c r="F17" s="23" t="s">
        <v>312</v>
      </c>
      <c r="G17" s="24"/>
    </row>
    <row r="18" spans="2:7">
      <c r="B18" s="24"/>
      <c r="C18" s="24"/>
      <c r="D18" s="163" t="s">
        <v>313</v>
      </c>
      <c r="E18" s="163" t="s">
        <v>314</v>
      </c>
      <c r="F18" s="2" t="s">
        <v>315</v>
      </c>
      <c r="G18" s="24"/>
    </row>
    <row r="19" spans="2:7">
      <c r="B19" s="24"/>
      <c r="C19" s="25" t="s">
        <v>316</v>
      </c>
      <c r="D19" s="25" t="s">
        <v>317</v>
      </c>
      <c r="E19" s="25" t="s">
        <v>318</v>
      </c>
      <c r="F19" s="25" t="s">
        <v>319</v>
      </c>
      <c r="G19" s="25" t="s">
        <v>260</v>
      </c>
    </row>
    <row r="20" spans="2:7">
      <c r="C20" s="26">
        <v>25</v>
      </c>
      <c r="D20" s="26">
        <v>20</v>
      </c>
      <c r="E20" s="26">
        <v>25</v>
      </c>
      <c r="F20" s="26">
        <v>30</v>
      </c>
      <c r="G20" s="26">
        <v>100</v>
      </c>
    </row>
    <row r="21" spans="2:7" ht="14.25" customHeight="1">
      <c r="B21" s="23"/>
      <c r="C21" s="27"/>
      <c r="D21" s="27"/>
      <c r="E21" s="27"/>
      <c r="F21" s="165"/>
      <c r="G21" s="165"/>
    </row>
    <row r="22" spans="2:7">
      <c r="B22" s="22" t="s">
        <v>320</v>
      </c>
      <c r="C22" s="253" t="s">
        <v>321</v>
      </c>
      <c r="D22" s="253"/>
      <c r="E22" s="253"/>
      <c r="F22" s="28" t="s">
        <v>312</v>
      </c>
      <c r="G22" s="16"/>
    </row>
    <row r="23" spans="2:7">
      <c r="C23" s="16"/>
      <c r="D23" s="29" t="s">
        <v>322</v>
      </c>
      <c r="E23" s="29" t="s">
        <v>314</v>
      </c>
      <c r="F23" s="30" t="s">
        <v>323</v>
      </c>
      <c r="G23" s="30"/>
    </row>
    <row r="24" spans="2:7">
      <c r="C24" s="31" t="s">
        <v>316</v>
      </c>
      <c r="D24" s="31" t="s">
        <v>317</v>
      </c>
      <c r="E24" s="31" t="s">
        <v>318</v>
      </c>
      <c r="F24" s="31" t="s">
        <v>319</v>
      </c>
      <c r="G24" s="31" t="s">
        <v>260</v>
      </c>
    </row>
    <row r="25" spans="2:7">
      <c r="C25" s="32">
        <v>30</v>
      </c>
      <c r="D25" s="32">
        <v>20</v>
      </c>
      <c r="E25" s="32">
        <v>30</v>
      </c>
      <c r="F25" s="32">
        <v>20</v>
      </c>
      <c r="G25" s="32">
        <v>100</v>
      </c>
    </row>
  </sheetData>
  <mergeCells count="15">
    <mergeCell ref="B2:G2"/>
    <mergeCell ref="B16:G16"/>
    <mergeCell ref="C17:E17"/>
    <mergeCell ref="C22:E22"/>
    <mergeCell ref="B5:C5"/>
    <mergeCell ref="B6:C6"/>
    <mergeCell ref="B7:C7"/>
    <mergeCell ref="B13:C13"/>
    <mergeCell ref="B12:C12"/>
    <mergeCell ref="B11:C11"/>
    <mergeCell ref="B10:C10"/>
    <mergeCell ref="B9:C9"/>
    <mergeCell ref="B8:C8"/>
    <mergeCell ref="B15:C15"/>
    <mergeCell ref="B14:C14"/>
  </mergeCells>
  <printOptions horizontalCentered="1"/>
  <pageMargins left="0.51181102362204722" right="0" top="0.39370078740157483" bottom="0" header="0.31496062992125984" footer="0.31496062992125984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16</vt:i4>
      </vt:variant>
    </vt:vector>
  </HeadingPairs>
  <TitlesOfParts>
    <vt:vector size="34" baseType="lpstr">
      <vt:lpstr>  ปก   </vt:lpstr>
      <vt:lpstr>ข้อมูลเด็ก</vt:lpstr>
      <vt:lpstr>วิธีทำ1</vt:lpstr>
      <vt:lpstr>วิธีทำ2</vt:lpstr>
      <vt:lpstr>เวลา1</vt:lpstr>
      <vt:lpstr>เวลา2</vt:lpstr>
      <vt:lpstr>เวลา3</vt:lpstr>
      <vt:lpstr>เวลา 4</vt:lpstr>
      <vt:lpstr>เวลา 5</vt:lpstr>
      <vt:lpstr>เวลา 6</vt:lpstr>
      <vt:lpstr>เวลา 7</vt:lpstr>
      <vt:lpstr>คะแนน1</vt:lpstr>
      <vt:lpstr>คะแนน2</vt:lpstr>
      <vt:lpstr>คำอธิบาย</vt:lpstr>
      <vt:lpstr>ตัวชี้วัด</vt:lpstr>
      <vt:lpstr>คุณลักษณะ</vt:lpstr>
      <vt:lpstr>อ่านคิด</vt:lpstr>
      <vt:lpstr>คะแนนวิชา</vt:lpstr>
      <vt:lpstr>'  ปก   '!Print_Area</vt:lpstr>
      <vt:lpstr>'เวลา 4'!Print_Area</vt:lpstr>
      <vt:lpstr>'เวลา 5'!Print_Area</vt:lpstr>
      <vt:lpstr>'เวลา 6'!Print_Area</vt:lpstr>
      <vt:lpstr>'เวลา 7'!Print_Area</vt:lpstr>
      <vt:lpstr>เวลา2!Print_Area</vt:lpstr>
      <vt:lpstr>เวลา3!Print_Area</vt:lpstr>
      <vt:lpstr>ข้อมูลเด็ก!Print_Area</vt:lpstr>
      <vt:lpstr>คะแนน1!Print_Area</vt:lpstr>
      <vt:lpstr>คะแนน2!Print_Area</vt:lpstr>
      <vt:lpstr>คะแนนวิชา!Print_Area</vt:lpstr>
      <vt:lpstr>คำอธิบาย!Print_Area</vt:lpstr>
      <vt:lpstr>คุณลักษณะ!Print_Area</vt:lpstr>
      <vt:lpstr>ตัวชี้วัด!Print_Area</vt:lpstr>
      <vt:lpstr>วิธีทำ2!Print_Area</vt:lpstr>
      <vt:lpstr>อ่านคิด!Print_Area</vt:lpstr>
    </vt:vector>
  </TitlesOfParts>
  <Manager/>
  <Company>LiteOS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MoZarD</dc:creator>
  <cp:keywords/>
  <dc:description/>
  <cp:lastModifiedBy>Pimon Tunkratok</cp:lastModifiedBy>
  <cp:revision/>
  <cp:lastPrinted>2026-03-26T02:11:28Z</cp:lastPrinted>
  <dcterms:created xsi:type="dcterms:W3CDTF">2010-05-15T12:43:24Z</dcterms:created>
  <dcterms:modified xsi:type="dcterms:W3CDTF">2026-03-26T02:15:41Z</dcterms:modified>
  <cp:category/>
  <cp:contentStatus/>
</cp:coreProperties>
</file>